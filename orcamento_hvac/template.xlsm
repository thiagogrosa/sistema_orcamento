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wsl.localhost\Ubuntu\home\thiagorosa\projects\learning\planilha\"/>
    </mc:Choice>
  </mc:AlternateContent>
  <xr:revisionPtr revIDLastSave="0" documentId="13_ncr:1_{DB873BA5-8D78-4404-8F69-E5EBB8E0DD62}" xr6:coauthVersionLast="47" xr6:coauthVersionMax="47" xr10:uidLastSave="{00000000-0000-0000-0000-000000000000}"/>
  <bookViews>
    <workbookView xWindow="-120" yWindow="-120" windowWidth="29040" windowHeight="15720" firstSheet="1" activeTab="8" xr2:uid="{00000000-000D-0000-FFFF-FFFF00000000}"/>
  </bookViews>
  <sheets>
    <sheet name="INSTRUCOES" sheetId="1" r:id="rId1"/>
    <sheet name="PROMPTS" sheetId="2" r:id="rId2"/>
    <sheet name="NEGOCIO" sheetId="3" r:id="rId3"/>
    <sheet name="MATERIAIS" sheetId="4" r:id="rId4"/>
    <sheet name="MAO_DE_OBRA" sheetId="5" r:id="rId5"/>
    <sheet name="FERRAMENTAS" sheetId="6" r:id="rId6"/>
    <sheet name="EQUIPAMENTOS" sheetId="7" r:id="rId7"/>
    <sheet name="COMPOSICOES" sheetId="8" r:id="rId8"/>
    <sheet name="ORCAMENTO" sheetId="9" r:id="rId9"/>
  </sheets>
  <functionGroups builtInGroupCount="19"/>
  <definedNames>
    <definedName name="_xleta.N" hidden="1" xlm="1">#NAME?</definedName>
    <definedName name="_xleta.SUM" hidden="1" xlm="1">#NAME?</definedName>
    <definedName name="_xleta.XLOOKUP" hidden="1" xlm="1">#NAME?</definedName>
    <definedName name="_xlpm.b" hidden="1" xlm="1">#NAME?</definedName>
    <definedName name="_xlpm.base" hidden="1" xlm="1">#NAME?</definedName>
    <definedName name="_xlpm.c" hidden="1" xlm="1">#NAME?</definedName>
    <definedName name="_xlpm.cd" hidden="1" xlm="1">#NAME?</definedName>
    <definedName name="_xlpm.cod" hidden="1" xlm="1">#NAME?</definedName>
    <definedName name="_xlpm.codigos" hidden="1" xlm="1">#NAME?</definedName>
    <definedName name="_xlpm.col_pai" hidden="1" xlm="1">#NAME?</definedName>
    <definedName name="_xlpm.colA" hidden="1" xlm="1">#NAME?</definedName>
    <definedName name="_xlpm.colC" hidden="1" xlm="1">#NAME?</definedName>
    <definedName name="_xlpm.desc" hidden="1" xlm="1">#NAME?</definedName>
    <definedName name="_xlpm.ehHeader" hidden="1" xlm="1">#NAME?</definedName>
    <definedName name="_xlpm.hdr" hidden="1" xlm="1">#NAME?</definedName>
    <definedName name="_xlpm.idx" hidden="1" xlm="1">#NAME?</definedName>
    <definedName name="_xlpm.lin" hidden="1" xlm="1">#NAME?</definedName>
    <definedName name="_xlpm.linhas" hidden="1" xlm="1">#NAME?</definedName>
    <definedName name="_xlpm.m" hidden="1" xlm="1">#NAME?</definedName>
    <definedName name="_xlpm.mult" hidden="1" xlm="1">#NAME?</definedName>
    <definedName name="_xlpm.n" hidden="1" xlm="1">#NAME?</definedName>
    <definedName name="_xlpm.p" hidden="1" xlm="1">#NAME?</definedName>
    <definedName name="_xlpm.pos" hidden="1" xlm="1">#NAME?</definedName>
    <definedName name="_xlpm.pre" hidden="1" xlm="1">#NAME?</definedName>
    <definedName name="_xlpm.preco" hidden="1" xlm="1">#NAME?</definedName>
    <definedName name="_xlpm.proxHdr" hidden="1" xlm="1">#NAME?</definedName>
    <definedName name="_xlpm.q" hidden="1" xlm="1">#NAME?</definedName>
    <definedName name="_xlpm.qtd" hidden="1" xlm="1">#NAME?</definedName>
    <definedName name="_xlpm.r" hidden="1" xlm="1">#NAME?</definedName>
    <definedName name="_xlpm.t" hidden="1" xlm="1">#NAME?</definedName>
    <definedName name="_xlpm.tab_mult" hidden="1" xlm="1">#NAME?</definedName>
    <definedName name="_xlpm.tab_tipo" hidden="1" xlm="1">#NAME?</definedName>
    <definedName name="_xlpm.tipos" hidden="1" xlm="1">#NAME?</definedName>
    <definedName name="_xlpm.tp" hidden="1" xlm="1">#NAME?</definedName>
    <definedName name="_xlpm.v" hidden="1" xlm="1">#NAME?</definedName>
    <definedName name="_xlpm.val" hidden="1" xlm="1">#NAME?</definedName>
    <definedName name="_xlpm.valores" hidden="1" xlm="1">#NAME?</definedName>
    <definedName name="_xlpm.var" hidden="1" xlm="1">#NAME?</definedName>
    <definedName name="_xlpm.vars" hidden="1" xlm="1">#NAME?</definedName>
    <definedName name="_xlpm.vr" hidden="1" xlm="1">#NAME?</definedName>
    <definedName name="LISTA_COMP">COMPOSICOES!$O:$O</definedName>
    <definedName name="LISTA_EQP">EQUIPAMENTOS!$G:$G</definedName>
    <definedName name="LISTA_FER">FERRAMENTAS!$G:$G</definedName>
    <definedName name="LISTA_MAT">MATERIAIS!$F:$F</definedName>
    <definedName name="LISTA_MO">MAO_DE_OBRA!$F:$F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 a="1"/>
  <c r="D10" i="9" s="1"/>
  <c r="O144" i="8"/>
  <c r="O122" i="8"/>
  <c r="E2" i="8" a="1"/>
  <c r="F2" i="8" a="1"/>
  <c r="I2" i="8" a="1"/>
  <c r="G13" i="7"/>
  <c r="G12" i="7"/>
  <c r="G11" i="7"/>
  <c r="G10" i="7"/>
  <c r="G9" i="7"/>
  <c r="G8" i="7"/>
  <c r="G7" i="7"/>
  <c r="G6" i="7"/>
  <c r="G5" i="7"/>
  <c r="G4" i="7"/>
  <c r="G3" i="7"/>
  <c r="G2" i="7"/>
  <c r="G16" i="6"/>
  <c r="F16" i="6"/>
  <c r="G15" i="6"/>
  <c r="F15" i="6"/>
  <c r="G14" i="6"/>
  <c r="F14" i="6"/>
  <c r="G13" i="6"/>
  <c r="F13" i="6"/>
  <c r="G12" i="6"/>
  <c r="F12" i="6"/>
  <c r="G11" i="6"/>
  <c r="F11" i="6"/>
  <c r="G10" i="6"/>
  <c r="F10" i="6"/>
  <c r="G9" i="6"/>
  <c r="F9" i="6"/>
  <c r="G8" i="6"/>
  <c r="F8" i="6"/>
  <c r="G7" i="6"/>
  <c r="F7" i="6"/>
  <c r="G6" i="6"/>
  <c r="F6" i="6"/>
  <c r="G5" i="6"/>
  <c r="F5" i="6"/>
  <c r="G4" i="6"/>
  <c r="F4" i="6"/>
  <c r="G3" i="6"/>
  <c r="F3" i="6"/>
  <c r="G2" i="6"/>
  <c r="F2" i="6"/>
  <c r="F10" i="5"/>
  <c r="F9" i="5"/>
  <c r="F8" i="5"/>
  <c r="F7" i="5"/>
  <c r="F6" i="5"/>
  <c r="F5" i="5"/>
  <c r="F4" i="5"/>
  <c r="F3" i="5"/>
  <c r="F2" i="5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B29" i="3"/>
  <c r="B18" i="3"/>
  <c r="O116" i="8"/>
  <c r="O110" i="8"/>
  <c r="O103" i="8"/>
  <c r="O96" i="8"/>
  <c r="O90" i="8"/>
  <c r="O86" i="8"/>
  <c r="O77" i="8"/>
  <c r="O70" i="8"/>
  <c r="O64" i="8"/>
  <c r="O56" i="8"/>
  <c r="O49" i="8"/>
  <c r="O44" i="8"/>
  <c r="O35" i="8"/>
  <c r="O31" i="8"/>
  <c r="O24" i="8"/>
  <c r="O2" i="8"/>
  <c r="F2" i="8" l="1"/>
  <c r="E2" i="8"/>
  <c r="I2" i="8"/>
  <c r="C45" i="3"/>
  <c r="B45" i="3"/>
  <c r="B42" i="3"/>
  <c r="L2" i="8" s="1" a="1"/>
  <c r="L2" i="8" s="1"/>
  <c r="C44" i="3"/>
  <c r="B44" i="3"/>
  <c r="C43" i="3"/>
  <c r="B43" i="3"/>
  <c r="C42" i="3"/>
  <c r="J2" i="8" l="1" a="1"/>
  <c r="K2" i="8" a="1"/>
  <c r="M2" i="8" a="1"/>
  <c r="N2" i="8" a="1"/>
  <c r="N2" i="8" l="1"/>
  <c r="M2" i="8"/>
  <c r="G10" i="9" s="1" a="1"/>
  <c r="K2" i="8"/>
  <c r="J2" i="8"/>
  <c r="G10" i="9" l="1"/>
  <c r="H10" i="9" s="1"/>
  <c r="H13" i="9"/>
  <c r="H12" i="9"/>
  <c r="H11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41" i="9" l="1"/>
  <c r="H42" i="9" l="1"/>
  <c r="H43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<sst xmlns="http://schemas.openxmlformats.org/spreadsheetml/2006/main" count="964" uniqueCount="469">
  <si>
    <t>Código</t>
  </si>
  <si>
    <t>Descrição</t>
  </si>
  <si>
    <t>Tipo</t>
  </si>
  <si>
    <t>Cód. Item</t>
  </si>
  <si>
    <t>Descrição Item</t>
  </si>
  <si>
    <t>Un</t>
  </si>
  <si>
    <t>Qtd Base</t>
  </si>
  <si>
    <t>Qtd/Metro</t>
  </si>
  <si>
    <t>Preço Unit.</t>
  </si>
  <si>
    <t>Sub. Base</t>
  </si>
  <si>
    <t>Seleção</t>
  </si>
  <si>
    <t>Desc. Pré</t>
  </si>
  <si>
    <t>Desc. Pós</t>
  </si>
  <si>
    <t>COMP_INST_9K</t>
  </si>
  <si>
    <t>Instalação Split 9.000 BTUs</t>
  </si>
  <si>
    <t xml:space="preserve">Instalação Split 9.000 BTUs com </t>
  </si>
  <si>
    <t xml:space="preserve"> de linha frigorígena</t>
  </si>
  <si>
    <t>MAT</t>
  </si>
  <si>
    <t>TUB_14_FLEX</t>
  </si>
  <si>
    <t>TUB_38_FLEX</t>
  </si>
  <si>
    <t>ISO_14_ELA_E9</t>
  </si>
  <si>
    <t>ISO_38_ELA_E9</t>
  </si>
  <si>
    <t>ACA_FITA_TER</t>
  </si>
  <si>
    <t>CAB_COM</t>
  </si>
  <si>
    <t>SUP_EVAP</t>
  </si>
  <si>
    <t>SUP_BUCHA</t>
  </si>
  <si>
    <t>SUP_CHIP</t>
  </si>
  <si>
    <t>ACA_ESPUMA</t>
  </si>
  <si>
    <t>ACA_FITA_ISO</t>
  </si>
  <si>
    <t>ACA_FITA_AUT</t>
  </si>
  <si>
    <t>SOL_PRATA</t>
  </si>
  <si>
    <t>SOL_FLUXO</t>
  </si>
  <si>
    <t>MO</t>
  </si>
  <si>
    <t>MO_TEC</t>
  </si>
  <si>
    <t>MO_AJU</t>
  </si>
  <si>
    <t>FER</t>
  </si>
  <si>
    <t>FER_VACUO</t>
  </si>
  <si>
    <t>FER_MANIF</t>
  </si>
  <si>
    <t>FER_SOLDA</t>
  </si>
  <si>
    <t>FER_MANUAL</t>
  </si>
  <si>
    <t>COMP_SUP_MF</t>
  </si>
  <si>
    <t>Adicional suporte mão francesa 400mm (condensadora)</t>
  </si>
  <si>
    <t>SUP_MF_400</t>
  </si>
  <si>
    <t>SUP_PARF_100</t>
  </si>
  <si>
    <t>FER_PERF</t>
  </si>
  <si>
    <t>COMP_SUP_CALCO</t>
  </si>
  <si>
    <t>Adicional calços de borracha (condensadora)</t>
  </si>
  <si>
    <t>SUP_CALCO</t>
  </si>
  <si>
    <t>COMP_ELE</t>
  </si>
  <si>
    <t>Alimentação elétrica 220V mono</t>
  </si>
  <si>
    <t xml:space="preserve">Alimentação elétrica 220V mono com </t>
  </si>
  <si>
    <t xml:space="preserve"> de cabo e eletroduto</t>
  </si>
  <si>
    <t>CAB_PP_25</t>
  </si>
  <si>
    <t>COND_CORR_34</t>
  </si>
  <si>
    <t>COND_CURV_34</t>
  </si>
  <si>
    <t>COND_ABRC_34</t>
  </si>
  <si>
    <t>MO_ELE</t>
  </si>
  <si>
    <t>FER_MULT</t>
  </si>
  <si>
    <t>COMP_DRN_CRIS</t>
  </si>
  <si>
    <t>Dreno mangueira cristal</t>
  </si>
  <si>
    <t xml:space="preserve">Dreno mangueira cristal com </t>
  </si>
  <si>
    <t>DRN_CRIS_34</t>
  </si>
  <si>
    <t>DRN_ABRC</t>
  </si>
  <si>
    <t>COMP_DRN_PVC</t>
  </si>
  <si>
    <t>Dreno tubo PVC 25mm</t>
  </si>
  <si>
    <t xml:space="preserve">Dreno tubo PVC 25mm com </t>
  </si>
  <si>
    <t>DRN_PVC_25</t>
  </si>
  <si>
    <t>DRN_CURV_25</t>
  </si>
  <si>
    <t>DRN_LUVA_25</t>
  </si>
  <si>
    <t>DRN_COLA</t>
  </si>
  <si>
    <t>COMP_FURO</t>
  </si>
  <si>
    <t>Furo em parede/laje/viga (até 20cm espessura)</t>
  </si>
  <si>
    <t>ACA_MASSA</t>
  </si>
  <si>
    <t>FER_SERRA_65</t>
  </si>
  <si>
    <t>COMP_CAN_50</t>
  </si>
  <si>
    <t>Acabamento canaleta PVC 50mm</t>
  </si>
  <si>
    <t xml:space="preserve">Acabamento canaleta PVC 50mm com </t>
  </si>
  <si>
    <t>ACA_CAN_50</t>
  </si>
  <si>
    <t>COMP_ALV</t>
  </si>
  <si>
    <t>Abertura e fechamento alvenaria</t>
  </si>
  <si>
    <t xml:space="preserve">Abertura e fechamento alvenaria com </t>
  </si>
  <si>
    <t xml:space="preserve"> para embutir linha</t>
  </si>
  <si>
    <t>ALV_ARG</t>
  </si>
  <si>
    <t>ALV_TIJ</t>
  </si>
  <si>
    <t>MO_PED</t>
  </si>
  <si>
    <t>MO_SERV</t>
  </si>
  <si>
    <t>COMP_FACH</t>
  </si>
  <si>
    <t>Instalação condensadora em fachada (com suporte)</t>
  </si>
  <si>
    <t>SUP_MF_500</t>
  </si>
  <si>
    <t>SUP_PARF_150</t>
  </si>
  <si>
    <t>MO_FAC</t>
  </si>
  <si>
    <t>COMP_ALT</t>
  </si>
  <si>
    <t>Adicional trabalho em altura (acima 3m)</t>
  </si>
  <si>
    <t>MO_ALT</t>
  </si>
  <si>
    <t>FER_ESCADA</t>
  </si>
  <si>
    <t>COMP_BOMB_DRN</t>
  </si>
  <si>
    <t>Instalação bomba de dreno</t>
  </si>
  <si>
    <t>EQP</t>
  </si>
  <si>
    <t>EQP_BOMB_P</t>
  </si>
  <si>
    <t>COMP_DISJ</t>
  </si>
  <si>
    <t>Instalação disjuntor no QDC</t>
  </si>
  <si>
    <t>DISJ_M_16</t>
  </si>
  <si>
    <t>CAB_FLEX_25</t>
  </si>
  <si>
    <t>COMP_DRN_ESG</t>
  </si>
  <si>
    <t>Conexão dreno em rede esgoto (com sifão)</t>
  </si>
  <si>
    <t>DRN_SIFAO</t>
  </si>
  <si>
    <t>COMP_DESINST</t>
  </si>
  <si>
    <t>Desinstalação de equipamento Split</t>
  </si>
  <si>
    <t>COMP_GAS_ADIC</t>
  </si>
  <si>
    <t>Carga adicional gás R-410A (por kg)</t>
  </si>
  <si>
    <t>GAS_R410A</t>
  </si>
  <si>
    <t>FER_BAL</t>
  </si>
  <si>
    <t>PLANILHA DE CUSTOS - INSTALAÇÃO DE EQUIPAMENTOS SPLIT</t>
  </si>
  <si>
    <t>1. VISÃO GERAL</t>
  </si>
  <si>
    <t>Esta planilha foi desenvolvida para auxiliar na composição de custos e elaboração de orçamentos</t>
  </si>
  <si>
    <t>para serviços de instalação de equipamentos de ar-condicionado tipo Split.</t>
  </si>
  <si>
    <t>A estrutura modular permite:</t>
  </si>
  <si>
    <t>• Calcular custos precisos de materiais, mão de obra e ferramentas</t>
  </si>
  <si>
    <t>• Criar composições de serviços reutilizáveis</t>
  </si>
  <si>
    <t>• Montar orçamentos completos de forma rápida</t>
  </si>
  <si>
    <t>• Atualizar preços de forma centralizada</t>
  </si>
  <si>
    <t>2. ESTRUTURA DAS ABAS</t>
  </si>
  <si>
    <t>MATERIAIS</t>
  </si>
  <si>
    <t>Contém todos os insumos consumíveis: tubos, cabos, conexões, isolamentos, etc.</t>
  </si>
  <si>
    <t>MAO_DE_OBRA</t>
  </si>
  <si>
    <t>Profissionais e seus custos por hora: técnico, ajudante, eletricista, pedreiro.</t>
  </si>
  <si>
    <t>NEGOCIO</t>
  </si>
  <si>
    <t>Configurações de BDI (Benefícios e Despesas Indiretas) ou Markup para cálculo</t>
  </si>
  <si>
    <t>do multiplicador aplicado aos custos diretos. Define a margem de lucro e despesas</t>
  </si>
  <si>
    <t>indiretas que compõem o preço de venda final.</t>
  </si>
  <si>
    <t>FERRAMENTAS</t>
  </si>
  <si>
    <t>Ferramentas com cálculo de depreciação. O custo por hora é calculado automaticamente</t>
  </si>
  <si>
    <t>dividindo o valor de aquisição pela vida útil em horas.</t>
  </si>
  <si>
    <t>EQUIPAMENTOS</t>
  </si>
  <si>
    <t>Equipamentos de climatização: splits de diversas capacidades, bombas de dreno.</t>
  </si>
  <si>
    <t>COMPOSICOES</t>
  </si>
  <si>
    <t>Serviços compostos por materiais, mão de obra e ferramentas. O total de cada</t>
  </si>
  <si>
    <t>composição é calculado automaticamente e aparece na linha do código.</t>
  </si>
  <si>
    <t>ORCAMENTO</t>
  </si>
  <si>
    <t>Aba para montagem de orçamentos. Permite selecionar composições, equipamentos,</t>
  </si>
  <si>
    <t>materiais ou mão de obra avulsa e calcular o total automaticamente.</t>
  </si>
  <si>
    <t>3. MACROS DISPONÍVEIS</t>
  </si>
  <si>
    <t>AtualizarSelecao</t>
  </si>
  <si>
    <t>Atualiza as fórmulas da coluna Seleção na aba ativa. Use após adicionar novos itens</t>
  </si>
  <si>
    <t>em qualquer catálogo ou composição.</t>
  </si>
  <si>
    <t>NovaComposicao</t>
  </si>
  <si>
    <t>Abre um formulário para criar uma nova composição de serviço com formatação automática.</t>
  </si>
  <si>
    <t>AtualizarTotaisComposicao</t>
  </si>
  <si>
    <t>Recalcula as fórmulas de Total Base e Total/Metro da composição atual.</t>
  </si>
  <si>
    <t>4. SISTEMA DE NOMENCLATURA</t>
  </si>
  <si>
    <t>Os códigos seguem um padrão intuitivo para facilitar a identificação.</t>
  </si>
  <si>
    <t>Veja a aba PROMPTS para detalhes e prompts de criação com IA.</t>
  </si>
  <si>
    <t>PROMPTS PARA CRIAÇÃO DE NOVOS ITENS COM LLM</t>
  </si>
  <si>
    <t>Copie o prompt correspondente, substitua o texto entre colchetes e use com ChatGPT, Claude ou outro LLM.</t>
  </si>
  <si>
    <t>PROMPT 1 - CRIAR MATERIAL</t>
  </si>
  <si>
    <t>Você é um assistente especializado em HVAC. Preciso cadastrar um novo material na minha planilha de custos.
CONTEXTO DA NOMENCLATURA:
- Tubos: TUB_[POLEGADA]_[FLEX/RIG]
- Isolamentos: ISO_[POLEGADA]_[ELA/POL]_E[ESPESSURA_MM]
- Cabos: CAB_[TIPO]_[SEÇÃO]
- Dreno: DRN_[TIPO]_[ESPECIFICAÇÃO]
- Suportes: SUP_[TIPO]_[ESPECIFICAÇÃO]
- Acabamento: ACA_[TIPO]_[ESPECIFICAÇÃO]
- Gás: GAS_[TIPO] / Solda: SOL_[TIPO]
- Disjuntores: DISJ_[M/B]_[AMPERAGEM]
- Alvenaria: ALV_[TIPO]
MATERIAL A CADASTRAR: [DESCREVA O MATERIAL AQUI]
Responda em formato de tabela com:
1. Código sugerido (seguindo a nomenclatura)
2. Categoria
3. Descrição completa
4. Unidade de medida
5. Preço estimado de mercado (Porto Alegre/RS)</t>
  </si>
  <si>
    <t>PROMPT 2 - CRIAR COMPOSIÇÃO</t>
  </si>
  <si>
    <t>Você é um assistente especializado em HVAC. Preciso criar uma nova composição de serviço.
CONTEXTO DA NOMENCLATURA:
- Formato: COMP_[SERVIÇO]_[ESPECIFICAÇÃO]
- Exemplos: COMP_INST_9K, COMP_DRN_PVC, COMP_FURO
SERVIÇO A CRIAR: [DESCREVA O SERVIÇO AQUI]
Responda com:
1. Código sugerido
2. Descrição completa do serviço
3. Lista de insumos em formato de tabela:
   | Tipo | Código | Quantidade Base | Quantidade/Metro |
4. Tempo estimado de execução
5. Observações técnicas importantes</t>
  </si>
  <si>
    <t>CONFIGURACOES DE NEGOCIO - BDI E MARKUP POR TIPO</t>
  </si>
  <si>
    <t>Esta aba permite configurar o multiplicador aplicado ao custo direto por tipo de item.</t>
  </si>
  <si>
    <t>METODO DE CALCULO</t>
  </si>
  <si>
    <t>Metodo:</t>
  </si>
  <si>
    <t>(Escolha: BDI ou MARKUP)</t>
  </si>
  <si>
    <t>BDI GERAL (Materiais, Mao de Obra, Ferramentas)</t>
  </si>
  <si>
    <t>Componente</t>
  </si>
  <si>
    <t>%</t>
  </si>
  <si>
    <t>Descricao</t>
  </si>
  <si>
    <t>Administracao Central</t>
  </si>
  <si>
    <t>Custos de escritorio, gerencia, RH, etc.</t>
  </si>
  <si>
    <t>Despesas Financeiras</t>
  </si>
  <si>
    <t>Juros, taxas bancarias, capital de giro</t>
  </si>
  <si>
    <t>Lucro</t>
  </si>
  <si>
    <t>Margem de lucro desejada</t>
  </si>
  <si>
    <t>Impostos</t>
  </si>
  <si>
    <t>ISS, PIS, COFINS, etc. (pode variar por municipio)</t>
  </si>
  <si>
    <t>Riscos e Imprevistos</t>
  </si>
  <si>
    <t>Contingencias, garantias, seguros</t>
  </si>
  <si>
    <t>Outros</t>
  </si>
  <si>
    <t>Outros custos indiretos</t>
  </si>
  <si>
    <t>TOTAL BDI (%)</t>
  </si>
  <si>
    <t>Soma de todos os componentes</t>
  </si>
  <si>
    <t>BDI EQUIPAMENTOS (Diferenciado)</t>
  </si>
  <si>
    <t>ISS, PIS, COFINS, etc.</t>
  </si>
  <si>
    <t>MARKUP SIMPLES POR TIPO (Alternativa ao BDI)</t>
  </si>
  <si>
    <t>Markup (%)</t>
  </si>
  <si>
    <t>Materiais</t>
  </si>
  <si>
    <t>Mao de Obra</t>
  </si>
  <si>
    <t>Ferramentas</t>
  </si>
  <si>
    <t>Equipamentos</t>
  </si>
  <si>
    <t>MULTIPLICADORES CALCULADOS</t>
  </si>
  <si>
    <t>Multiplicador</t>
  </si>
  <si>
    <t>Metodo Usado</t>
  </si>
  <si>
    <t>Formula</t>
  </si>
  <si>
    <t>BDI Geral ou Markup MAT</t>
  </si>
  <si>
    <t>BDI Geral ou Markup MO</t>
  </si>
  <si>
    <t>BDI Geral ou Markup FER</t>
  </si>
  <si>
    <t>BDI EQP ou Markup EQP</t>
  </si>
  <si>
    <t>COMO FUNCIONA:</t>
  </si>
  <si>
    <t>Os multiplicadores sao aplicados automaticamente nas composicoes por tipo de item.</t>
  </si>
  <si>
    <t>BDI: Usa o BDI Geral para MAT, MO, FER e o BDI Equipamentos para EQP.</t>
  </si>
  <si>
    <t>MARKUP: Usa o percentual especifico de cada tipo.</t>
  </si>
  <si>
    <t>O preco final ja inclui a margem e e importado diretamente no orcamento.</t>
  </si>
  <si>
    <t>Categoria</t>
  </si>
  <si>
    <t>Unidade</t>
  </si>
  <si>
    <t>Preço (R$)</t>
  </si>
  <si>
    <t>Tubulação</t>
  </si>
  <si>
    <t>Tubo de cobre 1/4" flexível</t>
  </si>
  <si>
    <t>M</t>
  </si>
  <si>
    <t>Tubo de cobre 3/8" flexível</t>
  </si>
  <si>
    <t>TUB_12_FLEX</t>
  </si>
  <si>
    <t>Tubo de cobre 1/2" flexível</t>
  </si>
  <si>
    <t>TUB_58_FLEX</t>
  </si>
  <si>
    <t>Tubo de cobre 5/8" flexível</t>
  </si>
  <si>
    <t>TUB_58_RIG</t>
  </si>
  <si>
    <t>Tubo de cobre 5/8" rígido</t>
  </si>
  <si>
    <t>TUB_34_FLEX</t>
  </si>
  <si>
    <t>Tubo de cobre 3/4" flexível</t>
  </si>
  <si>
    <t>TUB_34_RIG</t>
  </si>
  <si>
    <t>Tubo de cobre 3/4" rígido</t>
  </si>
  <si>
    <t>TUB_78_RIG</t>
  </si>
  <si>
    <t>Tubo de cobre 7/8" rígido</t>
  </si>
  <si>
    <t>TUB_118_RIG</t>
  </si>
  <si>
    <t>Tubo de cobre 1.1/8" rígido</t>
  </si>
  <si>
    <t>TUB_138_RIG</t>
  </si>
  <si>
    <t>Tubo de cobre 1.3/8" rígido</t>
  </si>
  <si>
    <t>Isolamento</t>
  </si>
  <si>
    <t>Isolamento elastomérico p/ 1/4" esp. 9mm</t>
  </si>
  <si>
    <t>ISO_14_ELA_E13</t>
  </si>
  <si>
    <t>Isolamento elastomérico p/ 1/4" esp. 13mm</t>
  </si>
  <si>
    <t>Isolamento elastomérico p/ 3/8" esp. 9mm</t>
  </si>
  <si>
    <t>ISO_38_ELA_E13</t>
  </si>
  <si>
    <t>Isolamento elastomérico p/ 3/8" esp. 13mm</t>
  </si>
  <si>
    <t>ISO_12_ELA_E9</t>
  </si>
  <si>
    <t>Isolamento elastomérico p/ 1/2" esp. 9mm</t>
  </si>
  <si>
    <t>ISO_12_ELA_E13</t>
  </si>
  <si>
    <t>Isolamento elastomérico p/ 1/2" esp. 13mm</t>
  </si>
  <si>
    <t>ISO_58_ELA_E9</t>
  </si>
  <si>
    <t>Isolamento elastomérico p/ 5/8" esp. 9mm</t>
  </si>
  <si>
    <t>ISO_58_ELA_E19</t>
  </si>
  <si>
    <t>Isolamento elastomérico p/ 5/8" esp. 19mm</t>
  </si>
  <si>
    <t>ISO_34_ELA_E9</t>
  </si>
  <si>
    <t>Isolamento elastomérico p/ 3/4" esp. 9mm</t>
  </si>
  <si>
    <t>ISO_34_ELA_E19</t>
  </si>
  <si>
    <t>Isolamento elastomérico p/ 3/4" esp. 19mm</t>
  </si>
  <si>
    <t>ISO_78_ELA_E19</t>
  </si>
  <si>
    <t>Isolamento elastomérico p/ 7/8" esp. 19mm</t>
  </si>
  <si>
    <t>ISO_118_ELA_E25</t>
  </si>
  <si>
    <t>Isolamento elastomérico p/ 1.1/8" esp. 25mm</t>
  </si>
  <si>
    <t>ISO_138_ELA_E25</t>
  </si>
  <si>
    <t>Isolamento elastomérico p/ 1.3/8" esp. 25mm</t>
  </si>
  <si>
    <t>ISO_14_POL_E10</t>
  </si>
  <si>
    <t>Isolamento polietileno p/ 1/4" esp. 10mm</t>
  </si>
  <si>
    <t>ISO_38_POL_E10</t>
  </si>
  <si>
    <t>Isolamento polietileno p/ 3/8" esp. 10mm</t>
  </si>
  <si>
    <t>ISO_12_POL_E10</t>
  </si>
  <si>
    <t>Isolamento polietileno p/ 1/2" esp. 10mm</t>
  </si>
  <si>
    <t>ISO_58_POL_E10</t>
  </si>
  <si>
    <t>Isolamento polietileno p/ 5/8" esp. 10mm</t>
  </si>
  <si>
    <t>ISO_34_POL_E10</t>
  </si>
  <si>
    <t>Isolamento polietileno p/ 3/4" esp. 10mm</t>
  </si>
  <si>
    <t>Fita isolante térmica (rolo 30m)</t>
  </si>
  <si>
    <t>UN</t>
  </si>
  <si>
    <t>CAB_PP_15</t>
  </si>
  <si>
    <t>Elétrica</t>
  </si>
  <si>
    <t>Cabo PP 3x1,5mm²</t>
  </si>
  <si>
    <t>Cabo PP 3x2,5mm²</t>
  </si>
  <si>
    <t>CAB_PP_40</t>
  </si>
  <si>
    <t>Cabo PP 3x4mm²</t>
  </si>
  <si>
    <t>CAB_PP_60</t>
  </si>
  <si>
    <t>Cabo PP 3x6mm²</t>
  </si>
  <si>
    <t>Cabo flexível 2,5mm² (fase/neutro/terra)</t>
  </si>
  <si>
    <t>CAB_FLEX_40</t>
  </si>
  <si>
    <t>Cabo flexível 4mm² (fase/neutro/terra)</t>
  </si>
  <si>
    <t>CAB_FLEX_60</t>
  </si>
  <si>
    <t>Cabo flexível 6mm² (fase/neutro/terra)</t>
  </si>
  <si>
    <t>Cabo de comunicação 2x0,75mm²</t>
  </si>
  <si>
    <t>DISJ_M_10</t>
  </si>
  <si>
    <t>Proteção</t>
  </si>
  <si>
    <t>Disjuntor monopolar 10A</t>
  </si>
  <si>
    <t>Disjuntor monopolar 16A</t>
  </si>
  <si>
    <t>DISJ_M_20</t>
  </si>
  <si>
    <t>Disjuntor monopolar 20A</t>
  </si>
  <si>
    <t>DISJ_B_20</t>
  </si>
  <si>
    <t>Disjuntor bipolar 20A</t>
  </si>
  <si>
    <t>DISJ_B_25</t>
  </si>
  <si>
    <t>Disjuntor bipolar 25A</t>
  </si>
  <si>
    <t>DISJ_B_32</t>
  </si>
  <si>
    <t>Disjuntor bipolar 32A</t>
  </si>
  <si>
    <t>DISJ_B_40</t>
  </si>
  <si>
    <t>Disjuntor bipolar 40A</t>
  </si>
  <si>
    <t>DISJ_CX</t>
  </si>
  <si>
    <t>Caixa de sobrepor para disjuntor</t>
  </si>
  <si>
    <t>Eletroduto</t>
  </si>
  <si>
    <t>Eletroduto corrugado 3/4"</t>
  </si>
  <si>
    <t>COND_CORR_100</t>
  </si>
  <si>
    <t>Eletroduto corrugado 1"</t>
  </si>
  <si>
    <t>Curva 90° eletroduto 3/4"</t>
  </si>
  <si>
    <t>Abraçadeira para eletroduto 3/4"</t>
  </si>
  <si>
    <t>Dreno</t>
  </si>
  <si>
    <t>Mangueira cristal 3/4"</t>
  </si>
  <si>
    <t>DRN_CRIS_100</t>
  </si>
  <si>
    <t>Mangueira cristal 1"</t>
  </si>
  <si>
    <t>Tubo PVC esgoto 25mm</t>
  </si>
  <si>
    <t>DRN_PVC_32</t>
  </si>
  <si>
    <t>Tubo PVC esgoto 32mm</t>
  </si>
  <si>
    <t>Curva 90° PVC 25mm</t>
  </si>
  <si>
    <t>Luva PVC 25mm</t>
  </si>
  <si>
    <t>Sifão sanfonado universal</t>
  </si>
  <si>
    <t>Cola PVC (tubo 75g)</t>
  </si>
  <si>
    <t>Abraçadeira nylon 3/4"</t>
  </si>
  <si>
    <t>Suporte</t>
  </si>
  <si>
    <t>Suporte mão francesa 400mm (par)</t>
  </si>
  <si>
    <t>PAR</t>
  </si>
  <si>
    <t>Suporte mão francesa 500mm (par)</t>
  </si>
  <si>
    <t>SUP_MF_600</t>
  </si>
  <si>
    <t>Suporte mão francesa 600mm (par)</t>
  </si>
  <si>
    <t>Calço borracha antivibração (jg 4pç)</t>
  </si>
  <si>
    <t>JG</t>
  </si>
  <si>
    <t>Suporte evaporadora universal</t>
  </si>
  <si>
    <t>Parafuso sextavado 3/8"x100mm c/ bucha</t>
  </si>
  <si>
    <t>Parafuso sextavado 3/8"x150mm c/ bucha</t>
  </si>
  <si>
    <t>Bucha nylon S10</t>
  </si>
  <si>
    <t>Parafuso chipboard 6x60mm</t>
  </si>
  <si>
    <t>Acabamento</t>
  </si>
  <si>
    <t>Canaleta PVC 50x50mm</t>
  </si>
  <si>
    <t>ACA_CAN_70</t>
  </si>
  <si>
    <t>Canaleta PVC 70x70mm</t>
  </si>
  <si>
    <t>ACA_CAN_100</t>
  </si>
  <si>
    <t>Canaleta PVC 100x50mm</t>
  </si>
  <si>
    <t>ACA_CURV_50</t>
  </si>
  <si>
    <t>Curva 90° canaleta 50mm</t>
  </si>
  <si>
    <t>ACA_TAMP_50</t>
  </si>
  <si>
    <t>Tampa canaleta 50mm</t>
  </si>
  <si>
    <t>Espuma expansiva 500ml</t>
  </si>
  <si>
    <t>Massa de calafetar 400g</t>
  </si>
  <si>
    <t>Fita isolante preta 20m</t>
  </si>
  <si>
    <t>Fita autofusão 10m</t>
  </si>
  <si>
    <t>Gás/Solda</t>
  </si>
  <si>
    <t>Gás refrigerante R-410A</t>
  </si>
  <si>
    <t>KG</t>
  </si>
  <si>
    <t>GAS_R22</t>
  </si>
  <si>
    <t>Gás refrigerante R-22</t>
  </si>
  <si>
    <t>GAS_R32</t>
  </si>
  <si>
    <t>Gás refrigerante R-32</t>
  </si>
  <si>
    <t>GAS_N2</t>
  </si>
  <si>
    <t>Nitrogênio (carga teste)</t>
  </si>
  <si>
    <t>Vareta solda prata 5%</t>
  </si>
  <si>
    <t>Fluxo para solda 100g</t>
  </si>
  <si>
    <t>Alvenaria</t>
  </si>
  <si>
    <t>Argamassa pronta 20kg</t>
  </si>
  <si>
    <t>SC</t>
  </si>
  <si>
    <t>Tijolo cerâmico 6 furos</t>
  </si>
  <si>
    <t>ALV_GESSO</t>
  </si>
  <si>
    <t>Gesso cola 5kg</t>
  </si>
  <si>
    <t>Custo (R$)</t>
  </si>
  <si>
    <t>Instalação</t>
  </si>
  <si>
    <t>Técnico em refrigeração</t>
  </si>
  <si>
    <t>H</t>
  </si>
  <si>
    <t>Ajudante de instalação</t>
  </si>
  <si>
    <t>Eletricista</t>
  </si>
  <si>
    <t>Civil</t>
  </si>
  <si>
    <t>Pedreiro</t>
  </si>
  <si>
    <t>Servente de pedreiro</t>
  </si>
  <si>
    <t>Adicional</t>
  </si>
  <si>
    <t>Adicional trabalho em altura (&gt;3m)</t>
  </si>
  <si>
    <t>Adicional trabalho fachada</t>
  </si>
  <si>
    <t>MO_DESL_20</t>
  </si>
  <si>
    <t>Deslocamento</t>
  </si>
  <si>
    <t>Deslocamento equipe (até 20km)</t>
  </si>
  <si>
    <t>VZ</t>
  </si>
  <si>
    <t>MO_DESL_50</t>
  </si>
  <si>
    <t>Deslocamento equipe (20-50km)</t>
  </si>
  <si>
    <t>Valor Aquisição (R$)</t>
  </si>
  <si>
    <t>Vida Útil (H)</t>
  </si>
  <si>
    <t>Custo/Hora (R$)</t>
  </si>
  <si>
    <t>Vácuo</t>
  </si>
  <si>
    <t>Bomba de vácuo</t>
  </si>
  <si>
    <t>Manifold</t>
  </si>
  <si>
    <t>Manifold digital</t>
  </si>
  <si>
    <t>Solda</t>
  </si>
  <si>
    <t>Kit solda oxigênio/GLP</t>
  </si>
  <si>
    <t>Furação</t>
  </si>
  <si>
    <t>Perfuratriz/martelete</t>
  </si>
  <si>
    <t>Serra copo diamantada 65mm</t>
  </si>
  <si>
    <t>FER_SERRA_80</t>
  </si>
  <si>
    <t>Serra copo diamantada 80mm</t>
  </si>
  <si>
    <t>Acesso</t>
  </si>
  <si>
    <t>Escada extensível 6m</t>
  </si>
  <si>
    <t>FER_ANDAIME</t>
  </si>
  <si>
    <t>Andaime cavalete (par)</t>
  </si>
  <si>
    <t>FER_ESTANQ</t>
  </si>
  <si>
    <t>Teste</t>
  </si>
  <si>
    <t>Kit teste estanqueidade</t>
  </si>
  <si>
    <t>Multímetro/alicate amperímetro</t>
  </si>
  <si>
    <t>Diversos</t>
  </si>
  <si>
    <t>Ferramentas manuais (conjunto)</t>
  </si>
  <si>
    <t>FER_FURAD</t>
  </si>
  <si>
    <t>Furadeira de impacto</t>
  </si>
  <si>
    <t>FER_CORTA</t>
  </si>
  <si>
    <t>Corte</t>
  </si>
  <si>
    <t>Cortador de tubo cobre</t>
  </si>
  <si>
    <t>FER_FLANG</t>
  </si>
  <si>
    <t>Dobra</t>
  </si>
  <si>
    <t>Flangeador/alargador</t>
  </si>
  <si>
    <t>Refrigeração</t>
  </si>
  <si>
    <t>Balança digital refrigeração</t>
  </si>
  <si>
    <t>Capacidade (BTU)</t>
  </si>
  <si>
    <t>EQP_HW_9K</t>
  </si>
  <si>
    <t>Split Hi-Wall</t>
  </si>
  <si>
    <t>Split Hi-Wall Inverter 9.000 BTUs</t>
  </si>
  <si>
    <t>EQP_HW_12K</t>
  </si>
  <si>
    <t>Split Hi-Wall Inverter 12.000 BTUs</t>
  </si>
  <si>
    <t>EQP_HW_18K</t>
  </si>
  <si>
    <t>Split Hi-Wall Inverter 18.000 BTUs</t>
  </si>
  <si>
    <t>EQP_HW_22K</t>
  </si>
  <si>
    <t>Split Hi-Wall Inverter 22.000 BTUs</t>
  </si>
  <si>
    <t>EQP_HW_24K</t>
  </si>
  <si>
    <t>Split Hi-Wall Inverter 24.000 BTUs</t>
  </si>
  <si>
    <t>EQP_HW_30K</t>
  </si>
  <si>
    <t>Split Hi-Wall Inverter 30.000 BTUs</t>
  </si>
  <si>
    <t>EQP_PT_36K</t>
  </si>
  <si>
    <t>Split Piso-Teto</t>
  </si>
  <si>
    <t>Split Piso-Teto 36.000 BTUs</t>
  </si>
  <si>
    <t>EQP_PT_48K</t>
  </si>
  <si>
    <t>Split Piso-Teto 48.000 BTUs</t>
  </si>
  <si>
    <t>EQP_PT_60K</t>
  </si>
  <si>
    <t>Split Piso-Teto 60.000 BTUs</t>
  </si>
  <si>
    <t>Bomba Dreno</t>
  </si>
  <si>
    <t>Bomba dreno mini (até 12.000 BTUs)</t>
  </si>
  <si>
    <t>-</t>
  </si>
  <si>
    <t>EQP_BOMB_M</t>
  </si>
  <si>
    <t>Bomba dreno média (até 36.000 BTUs)</t>
  </si>
  <si>
    <t>EQP_BOMB_G</t>
  </si>
  <si>
    <t>Bomba dreno grande (até 60.000 BTUs)</t>
  </si>
  <si>
    <t>ORCAMENTO DE CLIMATIZACAO</t>
  </si>
  <si>
    <t>Cliente:</t>
  </si>
  <si>
    <t>Endereco:</t>
  </si>
  <si>
    <t>Data:</t>
  </si>
  <si>
    <t>Validade:</t>
  </si>
  <si>
    <t>Responsavel:</t>
  </si>
  <si>
    <t>Telefone:</t>
  </si>
  <si>
    <t>Item</t>
  </si>
  <si>
    <t>Servico/Item</t>
  </si>
  <si>
    <t>Qtd</t>
  </si>
  <si>
    <t>Variavel</t>
  </si>
  <si>
    <t>Preco Unit.</t>
  </si>
  <si>
    <t>Total</t>
  </si>
  <si>
    <t>SUBTOTAL (COM MARGEM APLICADA)</t>
  </si>
  <si>
    <t>- DESCONTO</t>
  </si>
  <si>
    <t>TOTAL GERAL</t>
  </si>
  <si>
    <t>Observacoes:</t>
  </si>
  <si>
    <t>Preço Base</t>
  </si>
  <si>
    <t>Sub Var</t>
  </si>
  <si>
    <t>Preço Var</t>
  </si>
  <si>
    <t>COMP</t>
  </si>
  <si>
    <t>COMP_INST_9K - Instalação Split 9.000 BTUs</t>
  </si>
  <si>
    <t>COMP_DRN_CRIS - Dreno mangueira cristal</t>
  </si>
  <si>
    <t>COMP_INST_12K</t>
  </si>
  <si>
    <t>de linha frigorígena</t>
  </si>
  <si>
    <t>Instalação Split 12.000 BTUs</t>
  </si>
  <si>
    <t>COMP_INST_12K - Instalação Split 12.000 BTUs</t>
  </si>
  <si>
    <t>EQP_HW_9K - Split Hi-Wall Inverter 9.000 BTUs</t>
  </si>
  <si>
    <t>EQP_HW_12K - Split Hi-Wall Inverter 12.000 BTUs</t>
  </si>
  <si>
    <t xml:space="preserve">Instalação Split 12.000 BTUs com </t>
  </si>
  <si>
    <t>MARKUP</t>
  </si>
  <si>
    <t>COMP_INST_18K</t>
  </si>
  <si>
    <t>Instalação Split 18.000 BTUs</t>
  </si>
  <si>
    <t>Instalação Split 18.000 BTUs com</t>
  </si>
  <si>
    <t>COMP_INST_18K - Instalação Split 18.000 BTUs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</si>
</sst>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R\$\ #,##0.00"/>
    <numFmt numFmtId="165" formatCode="0.0%"/>
    <numFmt numFmtId="166" formatCode="0.0000"/>
    <numFmt numFmtId="167" formatCode="&quot;R$ &quot;#,##0.00"/>
  </numFmts>
  <fonts count="26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2"/>
      <name val="Calibri"/>
      <family val="2"/>
    </font>
    <font>
      <sz val="10"/>
      <name val="Consolas"/>
      <family val="3"/>
    </font>
    <font>
      <b/>
      <sz val="11"/>
      <name val="Calibri"/>
      <family val="2"/>
    </font>
    <font>
      <b/>
      <sz val="14"/>
      <color rgb="FFFFFFFF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FFFFFF"/>
      <name val="Consolas"/>
      <family val="3"/>
    </font>
    <font>
      <b/>
      <sz val="16"/>
      <color rgb="FF2E86AB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1"/>
      <name val="Calibri"/>
      <family val="2"/>
    </font>
    <font>
      <i/>
      <sz val="9"/>
      <name val="Calibri"/>
      <family val="2"/>
    </font>
    <font>
      <b/>
      <sz val="11"/>
      <name val="Consolas"/>
      <family val="3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onsolas"/>
      <family val="3"/>
    </font>
    <font>
      <sz val="11"/>
      <color rgb="FFFFFFFF"/>
      <name val="Calibri"/>
      <family val="2"/>
    </font>
    <font>
      <sz val="8"/>
      <name val="Calibri"/>
      <family val="2"/>
    </font>
    <font>
      <sz val="10"/>
      <name val="Calibri"/>
      <family val="2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5D6D7E"/>
      </patternFill>
    </fill>
    <fill>
      <patternFill patternType="solid">
        <fgColor rgb="FFF8F9F9"/>
      </patternFill>
    </fill>
    <fill>
      <patternFill patternType="solid">
        <fgColor rgb="FFFFFACD"/>
      </patternFill>
    </fill>
    <fill>
      <patternFill patternType="solid">
        <fgColor rgb="FFBDC3C7"/>
      </patternFill>
    </fill>
    <fill>
      <patternFill patternType="solid">
        <fgColor rgb="FF27AE60"/>
      </patternFill>
    </fill>
    <fill>
      <patternFill patternType="solid">
        <fgColor rgb="FF2E86AB"/>
      </patternFill>
    </fill>
    <fill>
      <patternFill patternType="solid">
        <fgColor rgb="FF5D6D7E"/>
      </patternFill>
    </fill>
    <fill>
      <patternFill patternType="solid">
        <fgColor rgb="FFF8F9F9"/>
      </patternFill>
    </fill>
    <fill>
      <patternFill patternType="solid">
        <fgColor rgb="FFFFFACD"/>
      </patternFill>
    </fill>
    <fill>
      <patternFill patternType="solid">
        <fgColor rgb="FFD5D8DC"/>
      </patternFill>
    </fill>
    <fill>
      <patternFill patternType="solid">
        <fgColor rgb="FFBDC3C7"/>
      </patternFill>
    </fill>
    <fill>
      <patternFill patternType="solid">
        <fgColor rgb="FF27AE60"/>
      </patternFill>
    </fill>
    <fill>
      <patternFill patternType="solid">
        <fgColor rgb="FFD5F5E3"/>
      </patternFill>
    </fill>
    <fill>
      <patternFill patternType="solid">
        <fgColor rgb="FFD6EAF8"/>
      </patternFill>
    </fill>
    <fill>
      <patternFill patternType="solid">
        <fgColor rgb="FFFCF3CF"/>
      </patternFill>
    </fill>
    <fill>
      <patternFill patternType="solid">
        <fgColor rgb="FFD1F2EB"/>
      </patternFill>
    </fill>
    <fill>
      <patternFill patternType="solid">
        <fgColor rgb="FFFAE5D3"/>
      </patternFill>
    </fill>
    <fill>
      <patternFill patternType="solid">
        <fgColor rgb="FFFADBD8"/>
      </patternFill>
    </fill>
    <fill>
      <patternFill patternType="solid">
        <fgColor rgb="FFE5E8E8"/>
      </patternFill>
    </fill>
    <fill>
      <patternFill patternType="solid">
        <fgColor rgb="FFF5EEF8"/>
      </patternFill>
    </fill>
    <fill>
      <patternFill patternType="solid">
        <fgColor rgb="FF2E86AB"/>
      </patternFill>
    </fill>
    <fill>
      <patternFill patternType="solid">
        <fgColor rgb="FFEAFAF1"/>
      </patternFill>
    </fill>
    <fill>
      <patternFill patternType="solid">
        <fgColor rgb="FFFEF9E7"/>
      </patternFill>
    </fill>
    <fill>
      <patternFill patternType="solid">
        <fgColor rgb="FFEBF5FB"/>
      </patternFill>
    </fill>
    <fill>
      <patternFill patternType="solid">
        <fgColor rgb="FF2E83AB"/>
        <bgColor indexed="64"/>
      </patternFill>
    </fill>
    <fill>
      <patternFill patternType="solid">
        <fgColor rgb="FFD9ECEB"/>
        <bgColor indexed="64"/>
      </patternFill>
    </fill>
    <fill>
      <patternFill patternType="solid">
        <fgColor rgb="FFFEF9E7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2" fillId="0" borderId="0" xfId="0" applyFont="1"/>
    <xf numFmtId="0" fontId="4" fillId="0" borderId="0" xfId="0" applyFont="1"/>
    <xf numFmtId="0" fontId="1" fillId="7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0" fontId="1" fillId="7" borderId="1" xfId="0" applyFont="1" applyFill="1" applyBorder="1" applyAlignment="1">
      <alignment horizontal="center" vertical="center" wrapText="1"/>
    </xf>
    <xf numFmtId="165" fontId="0" fillId="4" borderId="1" xfId="0" applyNumberFormat="1" applyFill="1" applyBorder="1" applyAlignment="1">
      <alignment horizontal="center"/>
    </xf>
    <xf numFmtId="0" fontId="0" fillId="5" borderId="1" xfId="0" applyFill="1" applyBorder="1"/>
    <xf numFmtId="164" fontId="2" fillId="5" borderId="1" xfId="0" applyNumberFormat="1" applyFont="1" applyFill="1" applyBorder="1"/>
    <xf numFmtId="0" fontId="1" fillId="2" borderId="0" xfId="0" applyFont="1" applyFill="1"/>
    <xf numFmtId="0" fontId="3" fillId="3" borderId="0" xfId="0" applyFont="1" applyFill="1" applyAlignment="1">
      <alignment vertical="top" wrapText="1"/>
    </xf>
    <xf numFmtId="0" fontId="4" fillId="0" borderId="1" xfId="0" applyFont="1" applyBorder="1" applyAlignment="1">
      <alignment horizontal="right"/>
    </xf>
    <xf numFmtId="0" fontId="11" fillId="0" borderId="0" xfId="0" applyFont="1"/>
    <xf numFmtId="0" fontId="12" fillId="0" borderId="0" xfId="0" applyFont="1"/>
    <xf numFmtId="0" fontId="0" fillId="10" borderId="11" xfId="0" applyFill="1" applyBorder="1"/>
    <xf numFmtId="0" fontId="13" fillId="0" borderId="0" xfId="0" applyFont="1"/>
    <xf numFmtId="0" fontId="12" fillId="11" borderId="11" xfId="0" applyFont="1" applyFill="1" applyBorder="1" applyAlignment="1">
      <alignment horizontal="center"/>
    </xf>
    <xf numFmtId="0" fontId="0" fillId="0" borderId="11" xfId="0" applyBorder="1"/>
    <xf numFmtId="2" fontId="0" fillId="10" borderId="11" xfId="0" applyNumberFormat="1" applyFill="1" applyBorder="1" applyAlignment="1">
      <alignment horizontal="center"/>
    </xf>
    <xf numFmtId="0" fontId="13" fillId="0" borderId="11" xfId="0" applyFont="1" applyBorder="1"/>
    <xf numFmtId="0" fontId="12" fillId="12" borderId="11" xfId="0" applyFont="1" applyFill="1" applyBorder="1"/>
    <xf numFmtId="2" fontId="12" fillId="12" borderId="11" xfId="0" applyNumberFormat="1" applyFont="1" applyFill="1" applyBorder="1" applyAlignment="1">
      <alignment horizontal="center"/>
    </xf>
    <xf numFmtId="0" fontId="13" fillId="12" borderId="11" xfId="0" applyFont="1" applyFill="1" applyBorder="1"/>
    <xf numFmtId="2" fontId="12" fillId="11" borderId="11" xfId="0" applyNumberFormat="1" applyFont="1" applyFill="1" applyBorder="1" applyAlignment="1">
      <alignment horizontal="center"/>
    </xf>
    <xf numFmtId="0" fontId="5" fillId="6" borderId="11" xfId="0" applyFont="1" applyFill="1" applyBorder="1" applyAlignment="1">
      <alignment horizontal="center"/>
    </xf>
    <xf numFmtId="0" fontId="2" fillId="0" borderId="11" xfId="0" applyFont="1" applyBorder="1"/>
    <xf numFmtId="2" fontId="5" fillId="10" borderId="11" xfId="0" applyNumberFormat="1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6" fillId="13" borderId="11" xfId="0" applyFont="1" applyFill="1" applyBorder="1" applyAlignment="1">
      <alignment horizontal="center"/>
    </xf>
    <xf numFmtId="166" fontId="11" fillId="14" borderId="12" xfId="0" applyNumberFormat="1" applyFont="1" applyFill="1" applyBorder="1" applyAlignment="1">
      <alignment horizontal="center"/>
    </xf>
    <xf numFmtId="0" fontId="3" fillId="15" borderId="11" xfId="0" applyFont="1" applyFill="1" applyBorder="1" applyAlignment="1">
      <alignment horizontal="left"/>
    </xf>
    <xf numFmtId="0" fontId="0" fillId="15" borderId="11" xfId="0" applyFill="1" applyBorder="1" applyAlignment="1">
      <alignment horizontal="center"/>
    </xf>
    <xf numFmtId="0" fontId="0" fillId="15" borderId="11" xfId="0" applyFill="1" applyBorder="1"/>
    <xf numFmtId="164" fontId="0" fillId="15" borderId="11" xfId="0" applyNumberFormat="1" applyFill="1" applyBorder="1"/>
    <xf numFmtId="0" fontId="3" fillId="14" borderId="11" xfId="0" applyFont="1" applyFill="1" applyBorder="1" applyAlignment="1">
      <alignment horizontal="left"/>
    </xf>
    <xf numFmtId="0" fontId="0" fillId="14" borderId="11" xfId="0" applyFill="1" applyBorder="1" applyAlignment="1">
      <alignment horizontal="center"/>
    </xf>
    <xf numFmtId="0" fontId="0" fillId="14" borderId="11" xfId="0" applyFill="1" applyBorder="1"/>
    <xf numFmtId="164" fontId="0" fillId="14" borderId="11" xfId="0" applyNumberFormat="1" applyFill="1" applyBorder="1"/>
    <xf numFmtId="0" fontId="3" fillId="16" borderId="11" xfId="0" applyFont="1" applyFill="1" applyBorder="1" applyAlignment="1">
      <alignment horizontal="left"/>
    </xf>
    <xf numFmtId="0" fontId="0" fillId="16" borderId="11" xfId="0" applyFill="1" applyBorder="1" applyAlignment="1">
      <alignment horizontal="center"/>
    </xf>
    <xf numFmtId="0" fontId="0" fillId="16" borderId="11" xfId="0" applyFill="1" applyBorder="1"/>
    <xf numFmtId="164" fontId="0" fillId="16" borderId="11" xfId="0" applyNumberFormat="1" applyFill="1" applyBorder="1"/>
    <xf numFmtId="0" fontId="3" fillId="17" borderId="11" xfId="0" applyFont="1" applyFill="1" applyBorder="1" applyAlignment="1">
      <alignment horizontal="left"/>
    </xf>
    <xf numFmtId="0" fontId="0" fillId="17" borderId="11" xfId="0" applyFill="1" applyBorder="1" applyAlignment="1">
      <alignment horizontal="center"/>
    </xf>
    <xf numFmtId="0" fontId="0" fillId="17" borderId="11" xfId="0" applyFill="1" applyBorder="1"/>
    <xf numFmtId="164" fontId="0" fillId="17" borderId="11" xfId="0" applyNumberFormat="1" applyFill="1" applyBorder="1"/>
    <xf numFmtId="0" fontId="3" fillId="18" borderId="11" xfId="0" applyFont="1" applyFill="1" applyBorder="1" applyAlignment="1">
      <alignment horizontal="left"/>
    </xf>
    <xf numFmtId="0" fontId="0" fillId="18" borderId="11" xfId="0" applyFill="1" applyBorder="1" applyAlignment="1">
      <alignment horizontal="center"/>
    </xf>
    <xf numFmtId="0" fontId="0" fillId="18" borderId="11" xfId="0" applyFill="1" applyBorder="1"/>
    <xf numFmtId="164" fontId="0" fillId="18" borderId="11" xfId="0" applyNumberFormat="1" applyFill="1" applyBorder="1"/>
    <xf numFmtId="0" fontId="3" fillId="19" borderId="11" xfId="0" applyFont="1" applyFill="1" applyBorder="1" applyAlignment="1">
      <alignment horizontal="left"/>
    </xf>
    <xf numFmtId="0" fontId="0" fillId="19" borderId="11" xfId="0" applyFill="1" applyBorder="1" applyAlignment="1">
      <alignment horizontal="center"/>
    </xf>
    <xf numFmtId="0" fontId="0" fillId="19" borderId="11" xfId="0" applyFill="1" applyBorder="1"/>
    <xf numFmtId="164" fontId="0" fillId="19" borderId="11" xfId="0" applyNumberFormat="1" applyFill="1" applyBorder="1"/>
    <xf numFmtId="0" fontId="3" fillId="20" borderId="11" xfId="0" applyFont="1" applyFill="1" applyBorder="1" applyAlignment="1">
      <alignment horizontal="left"/>
    </xf>
    <xf numFmtId="0" fontId="0" fillId="20" borderId="11" xfId="0" applyFill="1" applyBorder="1" applyAlignment="1">
      <alignment horizontal="center"/>
    </xf>
    <xf numFmtId="0" fontId="0" fillId="20" borderId="11" xfId="0" applyFill="1" applyBorder="1"/>
    <xf numFmtId="164" fontId="0" fillId="20" borderId="11" xfId="0" applyNumberFormat="1" applyFill="1" applyBorder="1"/>
    <xf numFmtId="0" fontId="3" fillId="21" borderId="11" xfId="0" applyFont="1" applyFill="1" applyBorder="1" applyAlignment="1">
      <alignment horizontal="left"/>
    </xf>
    <xf numFmtId="0" fontId="0" fillId="21" borderId="11" xfId="0" applyFill="1" applyBorder="1" applyAlignment="1">
      <alignment horizontal="center"/>
    </xf>
    <xf numFmtId="0" fontId="0" fillId="21" borderId="11" xfId="0" applyFill="1" applyBorder="1"/>
    <xf numFmtId="164" fontId="0" fillId="21" borderId="11" xfId="0" applyNumberFormat="1" applyFill="1" applyBorder="1"/>
    <xf numFmtId="0" fontId="3" fillId="0" borderId="11" xfId="0" applyFont="1" applyBorder="1"/>
    <xf numFmtId="0" fontId="0" fillId="0" borderId="11" xfId="0" applyBorder="1" applyAlignment="1">
      <alignment horizontal="center"/>
    </xf>
    <xf numFmtId="164" fontId="0" fillId="0" borderId="11" xfId="0" applyNumberFormat="1" applyBorder="1"/>
    <xf numFmtId="3" fontId="0" fillId="0" borderId="11" xfId="0" applyNumberFormat="1" applyBorder="1" applyAlignment="1">
      <alignment horizontal="center"/>
    </xf>
    <xf numFmtId="0" fontId="18" fillId="22" borderId="11" xfId="0" applyFont="1" applyFill="1" applyBorder="1" applyAlignment="1">
      <alignment horizontal="left" vertical="center"/>
    </xf>
    <xf numFmtId="0" fontId="16" fillId="22" borderId="11" xfId="0" applyFont="1" applyFill="1" applyBorder="1" applyAlignment="1">
      <alignment horizontal="left" vertical="center"/>
    </xf>
    <xf numFmtId="0" fontId="0" fillId="22" borderId="11" xfId="0" applyFill="1" applyBorder="1"/>
    <xf numFmtId="164" fontId="7" fillId="22" borderId="11" xfId="0" applyNumberFormat="1" applyFont="1" applyFill="1" applyBorder="1" applyAlignment="1">
      <alignment horizontal="right"/>
    </xf>
    <xf numFmtId="0" fontId="19" fillId="22" borderId="11" xfId="0" applyFont="1" applyFill="1" applyBorder="1"/>
    <xf numFmtId="0" fontId="0" fillId="10" borderId="11" xfId="0" applyFill="1" applyBorder="1" applyAlignment="1">
      <alignment horizontal="center"/>
    </xf>
    <xf numFmtId="0" fontId="3" fillId="10" borderId="11" xfId="0" applyFont="1" applyFill="1" applyBorder="1" applyAlignment="1">
      <alignment horizontal="left"/>
    </xf>
    <xf numFmtId="4" fontId="0" fillId="10" borderId="11" xfId="0" applyNumberFormat="1" applyFill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4" fontId="6" fillId="0" borderId="11" xfId="0" applyNumberFormat="1" applyFont="1" applyBorder="1"/>
    <xf numFmtId="0" fontId="0" fillId="23" borderId="11" xfId="0" applyFill="1" applyBorder="1"/>
    <xf numFmtId="0" fontId="0" fillId="23" borderId="11" xfId="0" applyFill="1" applyBorder="1" applyAlignment="1">
      <alignment horizontal="center"/>
    </xf>
    <xf numFmtId="0" fontId="3" fillId="23" borderId="11" xfId="0" applyFont="1" applyFill="1" applyBorder="1" applyAlignment="1">
      <alignment horizontal="left"/>
    </xf>
    <xf numFmtId="4" fontId="0" fillId="23" borderId="11" xfId="0" applyNumberFormat="1" applyFill="1" applyBorder="1" applyAlignment="1">
      <alignment horizontal="center"/>
    </xf>
    <xf numFmtId="164" fontId="0" fillId="23" borderId="11" xfId="0" applyNumberFormat="1" applyFill="1" applyBorder="1"/>
    <xf numFmtId="166" fontId="0" fillId="23" borderId="11" xfId="0" applyNumberFormat="1" applyFill="1" applyBorder="1" applyAlignment="1">
      <alignment horizontal="center"/>
    </xf>
    <xf numFmtId="0" fontId="0" fillId="24" borderId="11" xfId="0" applyFill="1" applyBorder="1"/>
    <xf numFmtId="0" fontId="0" fillId="24" borderId="11" xfId="0" applyFill="1" applyBorder="1" applyAlignment="1">
      <alignment horizontal="center"/>
    </xf>
    <xf numFmtId="0" fontId="3" fillId="24" borderId="11" xfId="0" applyFont="1" applyFill="1" applyBorder="1" applyAlignment="1">
      <alignment horizontal="left"/>
    </xf>
    <xf numFmtId="4" fontId="0" fillId="24" borderId="11" xfId="0" applyNumberFormat="1" applyFill="1" applyBorder="1" applyAlignment="1">
      <alignment horizontal="center"/>
    </xf>
    <xf numFmtId="164" fontId="0" fillId="24" borderId="11" xfId="0" applyNumberFormat="1" applyFill="1" applyBorder="1"/>
    <xf numFmtId="166" fontId="0" fillId="24" borderId="11" xfId="0" applyNumberFormat="1" applyFill="1" applyBorder="1" applyAlignment="1">
      <alignment horizontal="center"/>
    </xf>
    <xf numFmtId="0" fontId="0" fillId="25" borderId="11" xfId="0" applyFill="1" applyBorder="1"/>
    <xf numFmtId="0" fontId="0" fillId="25" borderId="11" xfId="0" applyFill="1" applyBorder="1" applyAlignment="1">
      <alignment horizontal="center"/>
    </xf>
    <xf numFmtId="0" fontId="3" fillId="25" borderId="11" xfId="0" applyFont="1" applyFill="1" applyBorder="1" applyAlignment="1">
      <alignment horizontal="left"/>
    </xf>
    <xf numFmtId="4" fontId="0" fillId="25" borderId="11" xfId="0" applyNumberFormat="1" applyFill="1" applyBorder="1" applyAlignment="1">
      <alignment horizontal="center"/>
    </xf>
    <xf numFmtId="164" fontId="0" fillId="25" borderId="11" xfId="0" applyNumberFormat="1" applyFill="1" applyBorder="1"/>
    <xf numFmtId="166" fontId="0" fillId="25" borderId="11" xfId="0" applyNumberFormat="1" applyFill="1" applyBorder="1" applyAlignment="1">
      <alignment horizontal="center"/>
    </xf>
    <xf numFmtId="0" fontId="10" fillId="22" borderId="11" xfId="0" applyFont="1" applyFill="1" applyBorder="1" applyAlignment="1">
      <alignment horizontal="center" vertical="center" wrapText="1"/>
    </xf>
    <xf numFmtId="0" fontId="20" fillId="10" borderId="11" xfId="0" applyFont="1" applyFill="1" applyBorder="1" applyAlignment="1">
      <alignment horizontal="left"/>
    </xf>
    <xf numFmtId="0" fontId="21" fillId="0" borderId="11" xfId="0" applyFont="1" applyBorder="1" applyAlignment="1">
      <alignment horizontal="left" wrapText="1"/>
    </xf>
    <xf numFmtId="164" fontId="12" fillId="14" borderId="11" xfId="0" applyNumberFormat="1" applyFont="1" applyFill="1" applyBorder="1"/>
    <xf numFmtId="165" fontId="0" fillId="10" borderId="11" xfId="0" applyNumberFormat="1" applyFill="1" applyBorder="1" applyAlignment="1">
      <alignment horizontal="center"/>
    </xf>
    <xf numFmtId="164" fontId="4" fillId="0" borderId="11" xfId="0" applyNumberFormat="1" applyFont="1" applyBorder="1"/>
    <xf numFmtId="0" fontId="0" fillId="12" borderId="11" xfId="0" applyFill="1" applyBorder="1"/>
    <xf numFmtId="164" fontId="11" fillId="12" borderId="11" xfId="0" applyNumberFormat="1" applyFont="1" applyFill="1" applyBorder="1"/>
    <xf numFmtId="0" fontId="12" fillId="5" borderId="1" xfId="0" applyFont="1" applyFill="1" applyBorder="1" applyAlignment="1">
      <alignment horizontal="right"/>
    </xf>
    <xf numFmtId="0" fontId="8" fillId="26" borderId="11" xfId="0" applyFont="1" applyFill="1" applyBorder="1" applyAlignment="1">
      <alignment horizontal="left" vertical="center"/>
    </xf>
    <xf numFmtId="0" fontId="22" fillId="26" borderId="11" xfId="0" applyFont="1" applyFill="1" applyBorder="1" applyAlignment="1">
      <alignment horizontal="left" vertical="center"/>
    </xf>
    <xf numFmtId="0" fontId="0" fillId="26" borderId="11" xfId="0" applyFill="1" applyBorder="1"/>
    <xf numFmtId="167" fontId="22" fillId="26" borderId="11" xfId="0" applyNumberFormat="1" applyFont="1" applyFill="1" applyBorder="1" applyAlignment="1">
      <alignment horizontal="right"/>
    </xf>
    <xf numFmtId="0" fontId="23" fillId="26" borderId="11" xfId="0" applyFont="1" applyFill="1" applyBorder="1"/>
    <xf numFmtId="0" fontId="24" fillId="0" borderId="11" xfId="0" applyFont="1" applyBorder="1"/>
    <xf numFmtId="2" fontId="0" fillId="0" borderId="11" xfId="0" applyNumberFormat="1" applyBorder="1" applyAlignment="1">
      <alignment horizontal="center"/>
    </xf>
    <xf numFmtId="167" fontId="0" fillId="0" borderId="11" xfId="0" applyNumberFormat="1" applyBorder="1"/>
    <xf numFmtId="0" fontId="0" fillId="27" borderId="11" xfId="0" applyFill="1" applyBorder="1"/>
    <xf numFmtId="0" fontId="0" fillId="27" borderId="11" xfId="0" applyFill="1" applyBorder="1" applyAlignment="1">
      <alignment horizontal="center"/>
    </xf>
    <xf numFmtId="0" fontId="24" fillId="27" borderId="11" xfId="0" applyFont="1" applyFill="1" applyBorder="1"/>
    <xf numFmtId="2" fontId="0" fillId="27" borderId="11" xfId="0" applyNumberFormat="1" applyFill="1" applyBorder="1" applyAlignment="1">
      <alignment horizontal="center"/>
    </xf>
    <xf numFmtId="167" fontId="0" fillId="27" borderId="11" xfId="0" applyNumberFormat="1" applyFill="1" applyBorder="1"/>
    <xf numFmtId="166" fontId="0" fillId="27" borderId="11" xfId="0" applyNumberFormat="1" applyFill="1" applyBorder="1" applyAlignment="1">
      <alignment horizontal="center"/>
    </xf>
    <xf numFmtId="0" fontId="0" fillId="28" borderId="11" xfId="0" applyFill="1" applyBorder="1"/>
    <xf numFmtId="0" fontId="0" fillId="28" borderId="11" xfId="0" applyFill="1" applyBorder="1" applyAlignment="1">
      <alignment horizontal="center"/>
    </xf>
    <xf numFmtId="0" fontId="24" fillId="28" borderId="11" xfId="0" applyFont="1" applyFill="1" applyBorder="1"/>
    <xf numFmtId="2" fontId="0" fillId="28" borderId="11" xfId="0" applyNumberFormat="1" applyFill="1" applyBorder="1" applyAlignment="1">
      <alignment horizontal="center"/>
    </xf>
    <xf numFmtId="167" fontId="0" fillId="28" borderId="11" xfId="0" applyNumberFormat="1" applyFill="1" applyBorder="1"/>
    <xf numFmtId="166" fontId="0" fillId="28" borderId="11" xfId="0" applyNumberForma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/>
    <xf numFmtId="0" fontId="12" fillId="14" borderId="11" xfId="0" applyFont="1" applyFill="1" applyBorder="1" applyAlignment="1">
      <alignment horizontal="right"/>
    </xf>
    <xf numFmtId="0" fontId="0" fillId="0" borderId="3" xfId="0" applyBorder="1"/>
    <xf numFmtId="0" fontId="0" fillId="0" borderId="2" xfId="0" applyBorder="1"/>
    <xf numFmtId="0" fontId="0" fillId="10" borderId="11" xfId="0" applyFill="1" applyBorder="1" applyAlignment="1">
      <alignment vertical="top" wrapText="1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10" borderId="11" xfId="0" applyFill="1" applyBorder="1"/>
    <xf numFmtId="0" fontId="12" fillId="0" borderId="11" xfId="0" applyFont="1" applyBorder="1" applyAlignment="1">
      <alignment horizontal="right"/>
    </xf>
    <xf numFmtId="0" fontId="11" fillId="12" borderId="11" xfId="0" applyFont="1" applyFill="1" applyBorder="1" applyAlignment="1">
      <alignment horizontal="right"/>
    </xf>
    <xf numFmtId="0" fontId="0" fillId="12" borderId="11" xfId="0" applyFill="1" applyBorder="1"/>
    <xf numFmtId="0" fontId="10" fillId="8" borderId="0" xfId="0" applyFont="1" applyFill="1"/>
    <xf numFmtId="0" fontId="3" fillId="9" borderId="0" xfId="0" applyFont="1" applyFill="1" applyAlignment="1">
      <alignment vertical="top" wrapText="1"/>
    </xf>
    <xf numFmtId="0" fontId="12" fillId="0" borderId="0" xfId="0" applyFont="1"/>
    <xf numFmtId="0" fontId="17" fillId="0" borderId="0" xfId="0" applyFont="1"/>
    <xf numFmtId="0" fontId="15" fillId="1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504825</xdr:colOff>
          <xdr:row>0</xdr:row>
          <xdr:rowOff>219075</xdr:rowOff>
        </xdr:from>
        <xdr:to>
          <xdr:col>12</xdr:col>
          <xdr:colOff>285750</xdr:colOff>
          <xdr:row>4</xdr:row>
          <xdr:rowOff>19050</xdr:rowOff>
        </xdr:to>
        <xdr:sp macro="" textlink="">
          <xdr:nvSpPr>
            <xdr:cNvPr id="16385" name="Button 1" descr="Nova Composição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COMPOSIÇÃO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161"/>
  <sheetViews>
    <sheetView workbookViewId="0">
      <selection activeCell="A22" sqref="A22"/>
    </sheetView>
  </sheetViews>
  <sheetFormatPr defaultRowHeight="15" x14ac:dyDescent="0.25"/>
  <cols>
    <col min="1" max="1" width="100" customWidth="1"/>
  </cols>
  <sheetData>
    <row r="1" spans="1:8" ht="21" customHeight="1" x14ac:dyDescent="0.35">
      <c r="A1" s="123" t="s">
        <v>112</v>
      </c>
      <c r="B1" s="124"/>
      <c r="C1" s="124"/>
      <c r="D1" s="124"/>
      <c r="E1" s="124"/>
      <c r="F1" s="124"/>
      <c r="G1" s="124"/>
      <c r="H1" s="124"/>
    </row>
    <row r="3" spans="1:8" x14ac:dyDescent="0.25">
      <c r="A3" s="140" t="s">
        <v>113</v>
      </c>
      <c r="B3" s="124"/>
      <c r="C3" s="124"/>
      <c r="D3" s="124"/>
      <c r="E3" s="124"/>
      <c r="F3" s="124"/>
      <c r="G3" s="124"/>
      <c r="H3" s="124"/>
    </row>
    <row r="4" spans="1:8" x14ac:dyDescent="0.25">
      <c r="A4" t="s">
        <v>114</v>
      </c>
    </row>
    <row r="5" spans="1:8" x14ac:dyDescent="0.25">
      <c r="A5" t="s">
        <v>115</v>
      </c>
    </row>
    <row r="7" spans="1:8" x14ac:dyDescent="0.25">
      <c r="A7" t="s">
        <v>116</v>
      </c>
    </row>
    <row r="8" spans="1:8" x14ac:dyDescent="0.25">
      <c r="A8" t="s">
        <v>117</v>
      </c>
    </row>
    <row r="9" spans="1:8" x14ac:dyDescent="0.25">
      <c r="A9" t="s">
        <v>118</v>
      </c>
    </row>
    <row r="10" spans="1:8" x14ac:dyDescent="0.25">
      <c r="A10" t="s">
        <v>119</v>
      </c>
    </row>
    <row r="11" spans="1:8" x14ac:dyDescent="0.25">
      <c r="A11" t="s">
        <v>120</v>
      </c>
    </row>
    <row r="13" spans="1:8" x14ac:dyDescent="0.25">
      <c r="A13" s="140" t="s">
        <v>121</v>
      </c>
      <c r="B13" s="124"/>
      <c r="C13" s="124"/>
      <c r="D13" s="124"/>
      <c r="E13" s="124"/>
      <c r="F13" s="124"/>
      <c r="G13" s="124"/>
      <c r="H13" s="124"/>
    </row>
    <row r="15" spans="1:8" ht="15.75" customHeight="1" x14ac:dyDescent="0.25">
      <c r="A15" s="12" t="s">
        <v>122</v>
      </c>
    </row>
    <row r="16" spans="1:8" x14ac:dyDescent="0.25">
      <c r="A16" t="s">
        <v>123</v>
      </c>
    </row>
    <row r="18" spans="1:1" ht="15.75" customHeight="1" x14ac:dyDescent="0.25">
      <c r="A18" s="12" t="s">
        <v>124</v>
      </c>
    </row>
    <row r="19" spans="1:1" x14ac:dyDescent="0.25">
      <c r="A19" t="s">
        <v>125</v>
      </c>
    </row>
    <row r="21" spans="1:1" ht="15.75" customHeight="1" x14ac:dyDescent="0.25">
      <c r="A21" s="12" t="s">
        <v>126</v>
      </c>
    </row>
    <row r="22" spans="1:1" x14ac:dyDescent="0.25">
      <c r="A22" t="s">
        <v>127</v>
      </c>
    </row>
    <row r="23" spans="1:1" x14ac:dyDescent="0.25">
      <c r="A23" t="s">
        <v>128</v>
      </c>
    </row>
    <row r="24" spans="1:1" x14ac:dyDescent="0.25">
      <c r="A24" t="s">
        <v>129</v>
      </c>
    </row>
    <row r="26" spans="1:1" ht="15.75" customHeight="1" x14ac:dyDescent="0.25">
      <c r="A26" s="12" t="s">
        <v>130</v>
      </c>
    </row>
    <row r="27" spans="1:1" x14ac:dyDescent="0.25">
      <c r="A27" t="s">
        <v>131</v>
      </c>
    </row>
    <row r="28" spans="1:1" x14ac:dyDescent="0.25">
      <c r="A28" t="s">
        <v>132</v>
      </c>
    </row>
    <row r="30" spans="1:1" ht="15.75" customHeight="1" x14ac:dyDescent="0.25">
      <c r="A30" s="12" t="s">
        <v>133</v>
      </c>
    </row>
    <row r="31" spans="1:1" x14ac:dyDescent="0.25">
      <c r="A31" t="s">
        <v>134</v>
      </c>
    </row>
    <row r="33" spans="1:8" ht="15.75" customHeight="1" x14ac:dyDescent="0.25">
      <c r="A33" s="12" t="s">
        <v>135</v>
      </c>
    </row>
    <row r="34" spans="1:8" x14ac:dyDescent="0.25">
      <c r="A34" t="s">
        <v>136</v>
      </c>
    </row>
    <row r="35" spans="1:8" x14ac:dyDescent="0.25">
      <c r="A35" t="s">
        <v>137</v>
      </c>
    </row>
    <row r="37" spans="1:8" ht="15.75" customHeight="1" x14ac:dyDescent="0.25">
      <c r="A37" s="12" t="s">
        <v>138</v>
      </c>
    </row>
    <row r="38" spans="1:8" x14ac:dyDescent="0.25">
      <c r="A38" t="s">
        <v>139</v>
      </c>
    </row>
    <row r="39" spans="1:8" x14ac:dyDescent="0.25">
      <c r="A39" t="s">
        <v>140</v>
      </c>
    </row>
    <row r="41" spans="1:8" x14ac:dyDescent="0.25">
      <c r="A41" s="140" t="s">
        <v>141</v>
      </c>
      <c r="B41" s="124"/>
      <c r="C41" s="124"/>
      <c r="D41" s="124"/>
      <c r="E41" s="124"/>
      <c r="F41" s="124"/>
      <c r="G41" s="124"/>
      <c r="H41" s="124"/>
    </row>
    <row r="43" spans="1:8" ht="15.75" customHeight="1" x14ac:dyDescent="0.25">
      <c r="A43" s="12" t="s">
        <v>142</v>
      </c>
    </row>
    <row r="44" spans="1:8" x14ac:dyDescent="0.25">
      <c r="A44" t="s">
        <v>143</v>
      </c>
    </row>
    <row r="45" spans="1:8" ht="15.75" customHeight="1" x14ac:dyDescent="0.25">
      <c r="A45" s="1" t="s">
        <v>144</v>
      </c>
    </row>
    <row r="47" spans="1:8" ht="15.75" customHeight="1" x14ac:dyDescent="0.25">
      <c r="A47" s="12" t="s">
        <v>145</v>
      </c>
    </row>
    <row r="48" spans="1:8" x14ac:dyDescent="0.25">
      <c r="A48" t="s">
        <v>146</v>
      </c>
    </row>
    <row r="50" spans="1:8" ht="15.75" customHeight="1" x14ac:dyDescent="0.25">
      <c r="A50" s="12" t="s">
        <v>147</v>
      </c>
    </row>
    <row r="51" spans="1:8" ht="15.75" customHeight="1" x14ac:dyDescent="0.25">
      <c r="A51" s="1" t="s">
        <v>148</v>
      </c>
    </row>
    <row r="53" spans="1:8" x14ac:dyDescent="0.25">
      <c r="A53" s="140" t="s">
        <v>149</v>
      </c>
      <c r="B53" s="124"/>
      <c r="C53" s="124"/>
      <c r="D53" s="124"/>
      <c r="E53" s="124"/>
      <c r="F53" s="124"/>
      <c r="G53" s="124"/>
      <c r="H53" s="124"/>
    </row>
    <row r="55" spans="1:8" x14ac:dyDescent="0.25">
      <c r="A55" t="s">
        <v>150</v>
      </c>
    </row>
    <row r="56" spans="1:8" x14ac:dyDescent="0.25">
      <c r="A56" t="s">
        <v>151</v>
      </c>
    </row>
    <row r="58" spans="1:8" ht="15.75" customHeight="1" x14ac:dyDescent="0.25">
      <c r="A58" s="1"/>
    </row>
    <row r="62" spans="1:8" ht="15.75" customHeight="1" x14ac:dyDescent="0.25">
      <c r="A62" s="1"/>
    </row>
    <row r="66" spans="1:1" ht="15.75" customHeight="1" x14ac:dyDescent="0.25">
      <c r="A66" s="1"/>
    </row>
    <row r="70" spans="1:1" ht="15.75" customHeight="1" x14ac:dyDescent="0.25">
      <c r="A70" s="1"/>
    </row>
    <row r="74" spans="1:1" ht="15.75" customHeight="1" x14ac:dyDescent="0.25">
      <c r="A74" s="1"/>
    </row>
    <row r="78" spans="1:1" ht="15.75" customHeight="1" x14ac:dyDescent="0.25">
      <c r="A78" s="1"/>
    </row>
    <row r="83" spans="1:1" ht="15.75" customHeight="1" x14ac:dyDescent="0.25">
      <c r="A83" s="1"/>
    </row>
    <row r="87" spans="1:1" ht="15.75" customHeight="1" x14ac:dyDescent="0.25">
      <c r="A87" s="1"/>
    </row>
    <row r="91" spans="1:1" ht="15.75" customHeight="1" x14ac:dyDescent="0.25">
      <c r="A91" s="1"/>
    </row>
    <row r="96" spans="1:1" ht="15.75" customHeight="1" x14ac:dyDescent="0.25">
      <c r="A96" s="1"/>
    </row>
    <row r="100" spans="1:1" x14ac:dyDescent="0.25">
      <c r="A100" s="9"/>
    </row>
    <row r="106" spans="1:1" ht="15.75" customHeight="1" x14ac:dyDescent="0.25">
      <c r="A106" s="1"/>
    </row>
    <row r="113" spans="1:1" ht="15.75" customHeight="1" x14ac:dyDescent="0.25">
      <c r="A113" s="1"/>
    </row>
    <row r="118" spans="1:1" ht="15.75" customHeight="1" x14ac:dyDescent="0.25">
      <c r="A118" s="1"/>
    </row>
    <row r="127" spans="1:1" x14ac:dyDescent="0.25">
      <c r="A127" s="9"/>
    </row>
    <row r="143" spans="1:1" x14ac:dyDescent="0.25">
      <c r="A143" s="9"/>
    </row>
    <row r="161" spans="1:1" x14ac:dyDescent="0.25">
      <c r="A161" s="9"/>
    </row>
  </sheetData>
  <mergeCells count="5">
    <mergeCell ref="A3:H3"/>
    <mergeCell ref="A53:H53"/>
    <mergeCell ref="A41:H41"/>
    <mergeCell ref="A13:H13"/>
    <mergeCell ref="A1:H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H90"/>
  <sheetViews>
    <sheetView workbookViewId="0">
      <selection sqref="A1:H1"/>
    </sheetView>
  </sheetViews>
  <sheetFormatPr defaultRowHeight="15" x14ac:dyDescent="0.25"/>
  <cols>
    <col min="1" max="1" width="120" customWidth="1"/>
  </cols>
  <sheetData>
    <row r="1" spans="1:8" ht="21" customHeight="1" x14ac:dyDescent="0.35">
      <c r="A1" s="123" t="s">
        <v>152</v>
      </c>
      <c r="B1" s="124"/>
      <c r="C1" s="124"/>
      <c r="D1" s="124"/>
      <c r="E1" s="124"/>
      <c r="F1" s="124"/>
      <c r="G1" s="124"/>
      <c r="H1" s="124"/>
    </row>
    <row r="3" spans="1:8" x14ac:dyDescent="0.25">
      <c r="A3" t="s">
        <v>153</v>
      </c>
    </row>
    <row r="5" spans="1:8" x14ac:dyDescent="0.25">
      <c r="A5" s="140" t="s">
        <v>154</v>
      </c>
      <c r="B5" s="124"/>
      <c r="C5" s="124"/>
      <c r="D5" s="124"/>
      <c r="E5" s="124"/>
      <c r="F5" s="124"/>
      <c r="G5" s="124"/>
      <c r="H5" s="124"/>
    </row>
    <row r="7" spans="1:8" x14ac:dyDescent="0.25">
      <c r="A7" s="141" t="s">
        <v>155</v>
      </c>
      <c r="B7" s="124"/>
      <c r="C7" s="124"/>
      <c r="D7" s="124"/>
      <c r="E7" s="124"/>
      <c r="F7" s="124"/>
      <c r="G7" s="124"/>
      <c r="H7" s="124"/>
    </row>
    <row r="8" spans="1:8" x14ac:dyDescent="0.25">
      <c r="A8" s="124"/>
      <c r="B8" s="124"/>
      <c r="C8" s="124"/>
      <c r="D8" s="124"/>
      <c r="E8" s="124"/>
      <c r="F8" s="124"/>
      <c r="G8" s="124"/>
      <c r="H8" s="124"/>
    </row>
    <row r="9" spans="1:8" x14ac:dyDescent="0.25">
      <c r="A9" s="124"/>
      <c r="B9" s="124"/>
      <c r="C9" s="124"/>
      <c r="D9" s="124"/>
      <c r="E9" s="124"/>
      <c r="F9" s="124"/>
      <c r="G9" s="124"/>
      <c r="H9" s="124"/>
    </row>
    <row r="10" spans="1:8" x14ac:dyDescent="0.25">
      <c r="A10" s="124"/>
      <c r="B10" s="124"/>
      <c r="C10" s="124"/>
      <c r="D10" s="124"/>
      <c r="E10" s="124"/>
      <c r="F10" s="124"/>
      <c r="G10" s="124"/>
      <c r="H10" s="124"/>
    </row>
    <row r="11" spans="1:8" x14ac:dyDescent="0.25">
      <c r="A11" s="124"/>
      <c r="B11" s="124"/>
      <c r="C11" s="124"/>
      <c r="D11" s="124"/>
      <c r="E11" s="124"/>
      <c r="F11" s="124"/>
      <c r="G11" s="124"/>
      <c r="H11" s="124"/>
    </row>
    <row r="12" spans="1:8" x14ac:dyDescent="0.25">
      <c r="A12" s="124"/>
      <c r="B12" s="124"/>
      <c r="C12" s="124"/>
      <c r="D12" s="124"/>
      <c r="E12" s="124"/>
      <c r="F12" s="124"/>
      <c r="G12" s="124"/>
      <c r="H12" s="124"/>
    </row>
    <row r="13" spans="1:8" x14ac:dyDescent="0.25">
      <c r="A13" s="124"/>
      <c r="B13" s="124"/>
      <c r="C13" s="124"/>
      <c r="D13" s="124"/>
      <c r="E13" s="124"/>
      <c r="F13" s="124"/>
      <c r="G13" s="124"/>
      <c r="H13" s="124"/>
    </row>
    <row r="14" spans="1:8" x14ac:dyDescent="0.25">
      <c r="A14" s="124"/>
      <c r="B14" s="124"/>
      <c r="C14" s="124"/>
      <c r="D14" s="124"/>
      <c r="E14" s="124"/>
      <c r="F14" s="124"/>
      <c r="G14" s="124"/>
      <c r="H14" s="124"/>
    </row>
    <row r="15" spans="1:8" x14ac:dyDescent="0.25">
      <c r="A15" s="124"/>
      <c r="B15" s="124"/>
      <c r="C15" s="124"/>
      <c r="D15" s="124"/>
      <c r="E15" s="124"/>
      <c r="F15" s="124"/>
      <c r="G15" s="124"/>
      <c r="H15" s="124"/>
    </row>
    <row r="16" spans="1:8" x14ac:dyDescent="0.25">
      <c r="A16" s="124"/>
      <c r="B16" s="124"/>
      <c r="C16" s="124"/>
      <c r="D16" s="124"/>
      <c r="E16" s="124"/>
      <c r="F16" s="124"/>
      <c r="G16" s="124"/>
      <c r="H16" s="124"/>
    </row>
    <row r="17" spans="1:8" x14ac:dyDescent="0.25">
      <c r="A17" s="124"/>
      <c r="B17" s="124"/>
      <c r="C17" s="124"/>
      <c r="D17" s="124"/>
      <c r="E17" s="124"/>
      <c r="F17" s="124"/>
      <c r="G17" s="124"/>
      <c r="H17" s="124"/>
    </row>
    <row r="18" spans="1:8" x14ac:dyDescent="0.25">
      <c r="A18" s="124"/>
      <c r="B18" s="124"/>
      <c r="C18" s="124"/>
      <c r="D18" s="124"/>
      <c r="E18" s="124"/>
      <c r="F18" s="124"/>
      <c r="G18" s="124"/>
      <c r="H18" s="124"/>
    </row>
    <row r="19" spans="1:8" x14ac:dyDescent="0.25">
      <c r="A19" s="124"/>
      <c r="B19" s="124"/>
      <c r="C19" s="124"/>
      <c r="D19" s="124"/>
      <c r="E19" s="124"/>
      <c r="F19" s="124"/>
      <c r="G19" s="124"/>
      <c r="H19" s="124"/>
    </row>
    <row r="20" spans="1:8" x14ac:dyDescent="0.25">
      <c r="A20" s="124"/>
      <c r="B20" s="124"/>
      <c r="C20" s="124"/>
      <c r="D20" s="124"/>
      <c r="E20" s="124"/>
      <c r="F20" s="124"/>
      <c r="G20" s="124"/>
      <c r="H20" s="124"/>
    </row>
    <row r="21" spans="1:8" x14ac:dyDescent="0.25">
      <c r="A21" s="124"/>
      <c r="B21" s="124"/>
      <c r="C21" s="124"/>
      <c r="D21" s="124"/>
      <c r="E21" s="124"/>
      <c r="F21" s="124"/>
      <c r="G21" s="124"/>
      <c r="H21" s="124"/>
    </row>
    <row r="22" spans="1:8" x14ac:dyDescent="0.25">
      <c r="A22" s="124"/>
      <c r="B22" s="124"/>
      <c r="C22" s="124"/>
      <c r="D22" s="124"/>
      <c r="E22" s="124"/>
      <c r="F22" s="124"/>
      <c r="G22" s="124"/>
      <c r="H22" s="124"/>
    </row>
    <row r="23" spans="1:8" x14ac:dyDescent="0.25">
      <c r="A23" s="124"/>
      <c r="B23" s="124"/>
      <c r="C23" s="124"/>
      <c r="D23" s="124"/>
      <c r="E23" s="124"/>
      <c r="F23" s="124"/>
      <c r="G23" s="124"/>
      <c r="H23" s="124"/>
    </row>
    <row r="24" spans="1:8" x14ac:dyDescent="0.25">
      <c r="A24" s="124"/>
      <c r="B24" s="124"/>
      <c r="C24" s="124"/>
      <c r="D24" s="124"/>
      <c r="E24" s="124"/>
      <c r="F24" s="124"/>
      <c r="G24" s="124"/>
      <c r="H24" s="124"/>
    </row>
    <row r="25" spans="1:8" x14ac:dyDescent="0.25">
      <c r="A25" s="124"/>
      <c r="B25" s="124"/>
      <c r="C25" s="124"/>
      <c r="D25" s="124"/>
      <c r="E25" s="124"/>
      <c r="F25" s="124"/>
      <c r="G25" s="124"/>
      <c r="H25" s="124"/>
    </row>
    <row r="26" spans="1:8" x14ac:dyDescent="0.25">
      <c r="A26" s="124"/>
      <c r="B26" s="124"/>
      <c r="C26" s="124"/>
      <c r="D26" s="124"/>
      <c r="E26" s="124"/>
      <c r="F26" s="124"/>
      <c r="G26" s="124"/>
      <c r="H26" s="124"/>
    </row>
    <row r="27" spans="1:8" x14ac:dyDescent="0.25">
      <c r="A27" s="124"/>
      <c r="B27" s="124"/>
      <c r="C27" s="124"/>
      <c r="D27" s="124"/>
      <c r="E27" s="124"/>
      <c r="F27" s="124"/>
      <c r="G27" s="124"/>
      <c r="H27" s="124"/>
    </row>
    <row r="30" spans="1:8" x14ac:dyDescent="0.25">
      <c r="A30" s="140" t="s">
        <v>156</v>
      </c>
      <c r="B30" s="124"/>
      <c r="C30" s="124"/>
      <c r="D30" s="124"/>
      <c r="E30" s="124"/>
      <c r="F30" s="124"/>
      <c r="G30" s="124"/>
      <c r="H30" s="124"/>
    </row>
    <row r="32" spans="1:8" x14ac:dyDescent="0.25">
      <c r="A32" s="141" t="s">
        <v>157</v>
      </c>
      <c r="B32" s="124"/>
      <c r="C32" s="124"/>
      <c r="D32" s="124"/>
      <c r="E32" s="124"/>
      <c r="F32" s="124"/>
      <c r="G32" s="124"/>
      <c r="H32" s="124"/>
    </row>
    <row r="33" spans="1:8" x14ac:dyDescent="0.25">
      <c r="A33" s="124"/>
      <c r="B33" s="124"/>
      <c r="C33" s="124"/>
      <c r="D33" s="124"/>
      <c r="E33" s="124"/>
      <c r="F33" s="124"/>
      <c r="G33" s="124"/>
      <c r="H33" s="124"/>
    </row>
    <row r="34" spans="1:8" x14ac:dyDescent="0.25">
      <c r="A34" s="124"/>
      <c r="B34" s="124"/>
      <c r="C34" s="124"/>
      <c r="D34" s="124"/>
      <c r="E34" s="124"/>
      <c r="F34" s="124"/>
      <c r="G34" s="124"/>
      <c r="H34" s="124"/>
    </row>
    <row r="35" spans="1:8" x14ac:dyDescent="0.25">
      <c r="A35" s="124"/>
      <c r="B35" s="124"/>
      <c r="C35" s="124"/>
      <c r="D35" s="124"/>
      <c r="E35" s="124"/>
      <c r="F35" s="124"/>
      <c r="G35" s="124"/>
      <c r="H35" s="124"/>
    </row>
    <row r="36" spans="1:8" x14ac:dyDescent="0.25">
      <c r="A36" s="124"/>
      <c r="B36" s="124"/>
      <c r="C36" s="124"/>
      <c r="D36" s="124"/>
      <c r="E36" s="124"/>
      <c r="F36" s="124"/>
      <c r="G36" s="124"/>
      <c r="H36" s="124"/>
    </row>
    <row r="37" spans="1:8" x14ac:dyDescent="0.25">
      <c r="A37" s="124"/>
      <c r="B37" s="124"/>
      <c r="C37" s="124"/>
      <c r="D37" s="124"/>
      <c r="E37" s="124"/>
      <c r="F37" s="124"/>
      <c r="G37" s="124"/>
      <c r="H37" s="124"/>
    </row>
    <row r="38" spans="1:8" x14ac:dyDescent="0.25">
      <c r="A38" s="124"/>
      <c r="B38" s="124"/>
      <c r="C38" s="124"/>
      <c r="D38" s="124"/>
      <c r="E38" s="124"/>
      <c r="F38" s="124"/>
      <c r="G38" s="124"/>
      <c r="H38" s="124"/>
    </row>
    <row r="39" spans="1:8" x14ac:dyDescent="0.25">
      <c r="A39" s="124"/>
      <c r="B39" s="124"/>
      <c r="C39" s="124"/>
      <c r="D39" s="124"/>
      <c r="E39" s="124"/>
      <c r="F39" s="124"/>
      <c r="G39" s="124"/>
      <c r="H39" s="124"/>
    </row>
    <row r="40" spans="1:8" x14ac:dyDescent="0.25">
      <c r="A40" s="124"/>
      <c r="B40" s="124"/>
      <c r="C40" s="124"/>
      <c r="D40" s="124"/>
      <c r="E40" s="124"/>
      <c r="F40" s="124"/>
      <c r="G40" s="124"/>
      <c r="H40" s="124"/>
    </row>
    <row r="41" spans="1:8" x14ac:dyDescent="0.25">
      <c r="A41" s="124"/>
      <c r="B41" s="124"/>
      <c r="C41" s="124"/>
      <c r="D41" s="124"/>
      <c r="E41" s="124"/>
      <c r="F41" s="124"/>
      <c r="G41" s="124"/>
      <c r="H41" s="124"/>
    </row>
    <row r="42" spans="1:8" x14ac:dyDescent="0.25">
      <c r="A42" s="124"/>
      <c r="B42" s="124"/>
      <c r="C42" s="124"/>
      <c r="D42" s="124"/>
      <c r="E42" s="124"/>
      <c r="F42" s="124"/>
      <c r="G42" s="124"/>
      <c r="H42" s="124"/>
    </row>
    <row r="43" spans="1:8" x14ac:dyDescent="0.25">
      <c r="A43" s="124"/>
      <c r="B43" s="124"/>
      <c r="C43" s="124"/>
      <c r="D43" s="124"/>
      <c r="E43" s="124"/>
      <c r="F43" s="124"/>
      <c r="G43" s="124"/>
      <c r="H43" s="124"/>
    </row>
    <row r="44" spans="1:8" x14ac:dyDescent="0.25">
      <c r="A44" s="124"/>
      <c r="B44" s="124"/>
      <c r="C44" s="124"/>
      <c r="D44" s="124"/>
      <c r="E44" s="124"/>
      <c r="F44" s="124"/>
      <c r="G44" s="124"/>
      <c r="H44" s="124"/>
    </row>
    <row r="45" spans="1:8" x14ac:dyDescent="0.25">
      <c r="A45" s="124"/>
      <c r="B45" s="124"/>
      <c r="C45" s="124"/>
      <c r="D45" s="124"/>
      <c r="E45" s="124"/>
      <c r="F45" s="124"/>
      <c r="G45" s="124"/>
      <c r="H45" s="124"/>
    </row>
    <row r="46" spans="1:8" x14ac:dyDescent="0.25">
      <c r="A46" s="124"/>
      <c r="B46" s="124"/>
      <c r="C46" s="124"/>
      <c r="D46" s="124"/>
      <c r="E46" s="124"/>
      <c r="F46" s="124"/>
      <c r="G46" s="124"/>
      <c r="H46" s="124"/>
    </row>
    <row r="48" spans="1:8" x14ac:dyDescent="0.25">
      <c r="A48" s="9"/>
    </row>
    <row r="50" spans="1:1" x14ac:dyDescent="0.25">
      <c r="A50" s="10"/>
    </row>
    <row r="67" spans="1:1" x14ac:dyDescent="0.25">
      <c r="A67" s="9"/>
    </row>
    <row r="69" spans="1:1" x14ac:dyDescent="0.25">
      <c r="A69" s="10"/>
    </row>
    <row r="88" spans="1:1" x14ac:dyDescent="0.25">
      <c r="A88" s="9"/>
    </row>
    <row r="90" spans="1:1" x14ac:dyDescent="0.25">
      <c r="A90" s="10"/>
    </row>
  </sheetData>
  <mergeCells count="5">
    <mergeCell ref="A1:H1"/>
    <mergeCell ref="A30:H30"/>
    <mergeCell ref="A7:H27"/>
    <mergeCell ref="A32:H46"/>
    <mergeCell ref="A5:H5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53"/>
  <sheetViews>
    <sheetView workbookViewId="0">
      <selection activeCell="B7" sqref="B7"/>
    </sheetView>
  </sheetViews>
  <sheetFormatPr defaultRowHeight="15" x14ac:dyDescent="0.25"/>
  <cols>
    <col min="1" max="1" width="25" customWidth="1"/>
    <col min="2" max="2" width="14" customWidth="1"/>
    <col min="3" max="3" width="45" customWidth="1"/>
    <col min="4" max="4" width="30" customWidth="1"/>
    <col min="5" max="6" width="12" customWidth="1"/>
  </cols>
  <sheetData>
    <row r="1" spans="1:6" ht="21" customHeight="1" x14ac:dyDescent="0.35">
      <c r="A1" s="123" t="s">
        <v>158</v>
      </c>
      <c r="B1" s="124"/>
      <c r="C1" s="124"/>
      <c r="D1" s="124"/>
      <c r="E1" s="124"/>
      <c r="F1" s="124"/>
    </row>
    <row r="3" spans="1:6" x14ac:dyDescent="0.25">
      <c r="A3" s="124" t="s">
        <v>159</v>
      </c>
      <c r="B3" s="124"/>
      <c r="C3" s="124"/>
      <c r="D3" s="124"/>
      <c r="E3" s="124"/>
      <c r="F3" s="124"/>
    </row>
    <row r="5" spans="1:6" x14ac:dyDescent="0.25">
      <c r="A5" s="140" t="s">
        <v>160</v>
      </c>
      <c r="B5" s="124"/>
      <c r="C5" s="124"/>
      <c r="D5" s="124"/>
      <c r="E5" s="124"/>
      <c r="F5" s="124"/>
    </row>
    <row r="7" spans="1:6" x14ac:dyDescent="0.25">
      <c r="A7" s="13" t="s">
        <v>161</v>
      </c>
      <c r="B7" s="14" t="s">
        <v>464</v>
      </c>
      <c r="C7" s="15" t="s">
        <v>162</v>
      </c>
    </row>
    <row r="9" spans="1:6" x14ac:dyDescent="0.25">
      <c r="A9" s="140" t="s">
        <v>163</v>
      </c>
      <c r="B9" s="124"/>
      <c r="C9" s="124"/>
      <c r="D9" s="124"/>
      <c r="E9" s="124"/>
      <c r="F9" s="124"/>
    </row>
    <row r="11" spans="1:6" x14ac:dyDescent="0.25">
      <c r="A11" s="16" t="s">
        <v>164</v>
      </c>
      <c r="B11" s="16" t="s">
        <v>165</v>
      </c>
      <c r="C11" s="16" t="s">
        <v>166</v>
      </c>
    </row>
    <row r="12" spans="1:6" x14ac:dyDescent="0.25">
      <c r="A12" s="17" t="s">
        <v>167</v>
      </c>
      <c r="B12" s="18">
        <v>5</v>
      </c>
      <c r="C12" s="19" t="s">
        <v>168</v>
      </c>
    </row>
    <row r="13" spans="1:6" x14ac:dyDescent="0.25">
      <c r="A13" s="17" t="s">
        <v>169</v>
      </c>
      <c r="B13" s="18">
        <v>1.2</v>
      </c>
      <c r="C13" s="19" t="s">
        <v>170</v>
      </c>
    </row>
    <row r="14" spans="1:6" x14ac:dyDescent="0.25">
      <c r="A14" s="17" t="s">
        <v>171</v>
      </c>
      <c r="B14" s="18">
        <v>8</v>
      </c>
      <c r="C14" s="19" t="s">
        <v>172</v>
      </c>
    </row>
    <row r="15" spans="1:6" x14ac:dyDescent="0.25">
      <c r="A15" s="17" t="s">
        <v>173</v>
      </c>
      <c r="B15" s="18">
        <v>13.65</v>
      </c>
      <c r="C15" s="19" t="s">
        <v>174</v>
      </c>
    </row>
    <row r="16" spans="1:6" x14ac:dyDescent="0.25">
      <c r="A16" s="17" t="s">
        <v>175</v>
      </c>
      <c r="B16" s="18">
        <v>2</v>
      </c>
      <c r="C16" s="19" t="s">
        <v>176</v>
      </c>
    </row>
    <row r="17" spans="1:6" x14ac:dyDescent="0.25">
      <c r="A17" s="17" t="s">
        <v>177</v>
      </c>
      <c r="B17" s="18">
        <v>0</v>
      </c>
      <c r="C17" s="19" t="s">
        <v>178</v>
      </c>
    </row>
    <row r="18" spans="1:6" x14ac:dyDescent="0.25">
      <c r="A18" s="20" t="s">
        <v>179</v>
      </c>
      <c r="B18" s="21">
        <f>SUM(B12:B17)</f>
        <v>29.85</v>
      </c>
      <c r="C18" s="22" t="s">
        <v>180</v>
      </c>
    </row>
    <row r="20" spans="1:6" x14ac:dyDescent="0.25">
      <c r="A20" s="140" t="s">
        <v>181</v>
      </c>
      <c r="B20" s="124"/>
      <c r="C20" s="124"/>
      <c r="D20" s="124"/>
      <c r="E20" s="124"/>
      <c r="F20" s="124"/>
    </row>
    <row r="22" spans="1:6" x14ac:dyDescent="0.25">
      <c r="A22" s="16" t="s">
        <v>164</v>
      </c>
      <c r="B22" s="23" t="s">
        <v>165</v>
      </c>
      <c r="C22" s="16" t="s">
        <v>166</v>
      </c>
    </row>
    <row r="23" spans="1:6" x14ac:dyDescent="0.25">
      <c r="A23" s="17" t="s">
        <v>167</v>
      </c>
      <c r="B23" s="18">
        <v>3</v>
      </c>
      <c r="C23" s="19" t="s">
        <v>168</v>
      </c>
    </row>
    <row r="24" spans="1:6" x14ac:dyDescent="0.25">
      <c r="A24" s="17" t="s">
        <v>169</v>
      </c>
      <c r="B24" s="18">
        <v>0.8</v>
      </c>
      <c r="C24" s="19" t="s">
        <v>170</v>
      </c>
    </row>
    <row r="25" spans="1:6" ht="18.75" customHeight="1" x14ac:dyDescent="0.3">
      <c r="A25" s="24" t="s">
        <v>171</v>
      </c>
      <c r="B25" s="18">
        <v>5</v>
      </c>
      <c r="C25" s="19" t="s">
        <v>172</v>
      </c>
    </row>
    <row r="26" spans="1:6" x14ac:dyDescent="0.25">
      <c r="A26" s="17" t="s">
        <v>173</v>
      </c>
      <c r="B26" s="18">
        <v>13.65</v>
      </c>
      <c r="C26" s="19" t="s">
        <v>182</v>
      </c>
    </row>
    <row r="27" spans="1:6" ht="18.75" customHeight="1" x14ac:dyDescent="0.3">
      <c r="A27" s="25" t="s">
        <v>175</v>
      </c>
      <c r="B27" s="26">
        <v>1</v>
      </c>
      <c r="C27" s="19" t="s">
        <v>176</v>
      </c>
    </row>
    <row r="28" spans="1:6" x14ac:dyDescent="0.25">
      <c r="A28" s="17" t="s">
        <v>177</v>
      </c>
      <c r="B28" s="18">
        <v>0</v>
      </c>
      <c r="C28" s="19" t="s">
        <v>178</v>
      </c>
    </row>
    <row r="29" spans="1:6" x14ac:dyDescent="0.25">
      <c r="A29" s="20" t="s">
        <v>179</v>
      </c>
      <c r="B29" s="21">
        <f>SUM(B23:B28)</f>
        <v>23.450000000000003</v>
      </c>
      <c r="C29" s="22" t="s">
        <v>180</v>
      </c>
    </row>
    <row r="30" spans="1:6" x14ac:dyDescent="0.25">
      <c r="A30" s="2"/>
    </row>
    <row r="31" spans="1:6" x14ac:dyDescent="0.25">
      <c r="A31" s="140" t="s">
        <v>183</v>
      </c>
      <c r="B31" s="124"/>
      <c r="C31" s="124"/>
      <c r="D31" s="124"/>
      <c r="E31" s="124"/>
      <c r="F31" s="124"/>
    </row>
    <row r="33" spans="1:6" x14ac:dyDescent="0.25">
      <c r="A33" s="16" t="s">
        <v>2</v>
      </c>
      <c r="B33" s="16" t="s">
        <v>184</v>
      </c>
      <c r="C33" s="16" t="s">
        <v>166</v>
      </c>
    </row>
    <row r="34" spans="1:6" x14ac:dyDescent="0.25">
      <c r="A34" s="27" t="s">
        <v>17</v>
      </c>
      <c r="B34" s="18">
        <v>35</v>
      </c>
      <c r="C34" s="19" t="s">
        <v>185</v>
      </c>
    </row>
    <row r="35" spans="1:6" x14ac:dyDescent="0.25">
      <c r="A35" s="27" t="s">
        <v>32</v>
      </c>
      <c r="B35" s="18">
        <v>50</v>
      </c>
      <c r="C35" s="19" t="s">
        <v>186</v>
      </c>
    </row>
    <row r="36" spans="1:6" x14ac:dyDescent="0.25">
      <c r="A36" s="27" t="s">
        <v>35</v>
      </c>
      <c r="B36" s="18">
        <v>30</v>
      </c>
      <c r="C36" s="19" t="s">
        <v>187</v>
      </c>
    </row>
    <row r="37" spans="1:6" x14ac:dyDescent="0.25">
      <c r="A37" s="27" t="s">
        <v>97</v>
      </c>
      <c r="B37" s="18">
        <v>20</v>
      </c>
      <c r="C37" s="19" t="s">
        <v>188</v>
      </c>
    </row>
    <row r="39" spans="1:6" ht="18.75" customHeight="1" x14ac:dyDescent="0.3">
      <c r="A39" s="144" t="s">
        <v>189</v>
      </c>
      <c r="B39" s="124"/>
      <c r="C39" s="124"/>
      <c r="D39" s="124"/>
      <c r="E39" s="124"/>
      <c r="F39" s="124"/>
    </row>
    <row r="41" spans="1:6" x14ac:dyDescent="0.25">
      <c r="A41" s="28" t="s">
        <v>2</v>
      </c>
      <c r="B41" s="28" t="s">
        <v>190</v>
      </c>
      <c r="C41" s="28" t="s">
        <v>191</v>
      </c>
      <c r="D41" s="28" t="s">
        <v>192</v>
      </c>
    </row>
    <row r="42" spans="1:6" ht="15.75" customHeight="1" x14ac:dyDescent="0.25">
      <c r="A42" s="27" t="s">
        <v>17</v>
      </c>
      <c r="B42" s="29">
        <f>IF($B$7="BDI",1+(B18/100),IF($B$7="MARKUP",1+(B34/100),1))</f>
        <v>1.35</v>
      </c>
      <c r="C42" s="19" t="str">
        <f>IF($B$7="BDI","BDI Geral ("&amp;TEXT(B18,"0.00")&amp;"%)","MARKUP ("&amp;TEXT(B34,"0.00")&amp;"%)")</f>
        <v>MARKUP (035%)</v>
      </c>
      <c r="D42" s="19" t="s">
        <v>193</v>
      </c>
    </row>
    <row r="43" spans="1:6" ht="15.75" customHeight="1" x14ac:dyDescent="0.25">
      <c r="A43" s="27" t="s">
        <v>32</v>
      </c>
      <c r="B43" s="29">
        <f>IF($B$7="BDI",1+(B18/100),IF($B$7="MARKUP",1+(B35/100),1))</f>
        <v>1.5</v>
      </c>
      <c r="C43" s="19" t="str">
        <f>IF($B$7="BDI","BDI Geral ("&amp;TEXT(B18,"0.00")&amp;"%)","MARKUP ("&amp;TEXT(B35,"0.00")&amp;"%)")</f>
        <v>MARKUP (050%)</v>
      </c>
      <c r="D43" s="19" t="s">
        <v>194</v>
      </c>
    </row>
    <row r="44" spans="1:6" ht="15.75" customHeight="1" x14ac:dyDescent="0.25">
      <c r="A44" s="27" t="s">
        <v>35</v>
      </c>
      <c r="B44" s="29">
        <f>IF($B$7="BDI",1+(B18/100),IF($B$7="MARKUP",1+(B36/100),1))</f>
        <v>1.3</v>
      </c>
      <c r="C44" s="19" t="str">
        <f>IF($B$7="BDI","BDI Geral ("&amp;TEXT(B18,"0.00")&amp;"%)","MARKUP ("&amp;TEXT(B36,"0.00")&amp;"%)")</f>
        <v>MARKUP (030%)</v>
      </c>
      <c r="D44" s="19" t="s">
        <v>195</v>
      </c>
    </row>
    <row r="45" spans="1:6" ht="15.75" customHeight="1" x14ac:dyDescent="0.25">
      <c r="A45" s="27" t="s">
        <v>97</v>
      </c>
      <c r="B45" s="29">
        <f>IF($B$7="BDI",1+(B29/100),IF($B$7="MARKUP",1+(B37/100),1))</f>
        <v>1.2</v>
      </c>
      <c r="C45" s="19" t="str">
        <f>IF($B$7="BDI","BDI EQP ("&amp;TEXT(B29,"0.00")&amp;"%)","MARKUP ("&amp;TEXT(B37,"0.00")&amp;"%)")</f>
        <v>MARKUP (020%)</v>
      </c>
      <c r="D45" s="19" t="s">
        <v>196</v>
      </c>
    </row>
    <row r="47" spans="1:6" x14ac:dyDescent="0.25">
      <c r="A47" s="143" t="s">
        <v>197</v>
      </c>
      <c r="B47" s="124"/>
      <c r="C47" s="124"/>
      <c r="D47" s="124"/>
      <c r="E47" s="124"/>
      <c r="F47" s="124"/>
    </row>
    <row r="48" spans="1:6" x14ac:dyDescent="0.25">
      <c r="A48" s="124" t="s">
        <v>198</v>
      </c>
      <c r="B48" s="124"/>
      <c r="C48" s="124"/>
      <c r="D48" s="124"/>
      <c r="E48" s="124"/>
      <c r="F48" s="124"/>
    </row>
    <row r="49" spans="1:6" x14ac:dyDescent="0.25">
      <c r="A49" s="124"/>
      <c r="B49" s="124"/>
      <c r="C49" s="124"/>
      <c r="D49" s="124"/>
      <c r="E49" s="124"/>
      <c r="F49" s="124"/>
    </row>
    <row r="50" spans="1:6" x14ac:dyDescent="0.25">
      <c r="A50" s="142" t="s">
        <v>199</v>
      </c>
      <c r="B50" s="124"/>
      <c r="C50" s="124"/>
      <c r="D50" s="124"/>
      <c r="E50" s="124"/>
      <c r="F50" s="124"/>
    </row>
    <row r="51" spans="1:6" x14ac:dyDescent="0.25">
      <c r="A51" s="142" t="s">
        <v>200</v>
      </c>
      <c r="B51" s="124"/>
      <c r="C51" s="124"/>
      <c r="D51" s="124"/>
      <c r="E51" s="124"/>
      <c r="F51" s="124"/>
    </row>
    <row r="52" spans="1:6" x14ac:dyDescent="0.25">
      <c r="A52" s="124"/>
      <c r="B52" s="124"/>
      <c r="C52" s="124"/>
      <c r="D52" s="124"/>
      <c r="E52" s="124"/>
      <c r="F52" s="124"/>
    </row>
    <row r="53" spans="1:6" x14ac:dyDescent="0.25">
      <c r="A53" s="124" t="s">
        <v>201</v>
      </c>
      <c r="B53" s="124"/>
      <c r="C53" s="124"/>
      <c r="D53" s="124"/>
      <c r="E53" s="124"/>
      <c r="F53" s="124"/>
    </row>
  </sheetData>
  <mergeCells count="14">
    <mergeCell ref="A53:F53"/>
    <mergeCell ref="A5:F5"/>
    <mergeCell ref="A1:F1"/>
    <mergeCell ref="A9:F9"/>
    <mergeCell ref="A31:F31"/>
    <mergeCell ref="A50:F50"/>
    <mergeCell ref="A3:F3"/>
    <mergeCell ref="A20:F20"/>
    <mergeCell ref="A48:F48"/>
    <mergeCell ref="A51:F51"/>
    <mergeCell ref="A49:F49"/>
    <mergeCell ref="A47:F47"/>
    <mergeCell ref="A39:F39"/>
    <mergeCell ref="A52:F52"/>
  </mergeCells>
  <dataValidations count="1">
    <dataValidation type="list" sqref="B7" xr:uid="{00000000-0002-0000-0200-000000000000}">
      <formula1>"BDI,MARKUP"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F86"/>
  <sheetViews>
    <sheetView workbookViewId="0">
      <pane ySplit="1" topLeftCell="A2" activePane="bottomLeft" state="frozen"/>
      <selection pane="bottomLeft" activeCell="F1" sqref="F1:F1048576"/>
    </sheetView>
  </sheetViews>
  <sheetFormatPr defaultRowHeight="15" x14ac:dyDescent="0.25"/>
  <cols>
    <col min="1" max="1" width="18" customWidth="1"/>
    <col min="2" max="2" width="12" customWidth="1"/>
    <col min="3" max="3" width="45" customWidth="1"/>
    <col min="4" max="4" width="10" customWidth="1"/>
    <col min="5" max="5" width="14" customWidth="1"/>
    <col min="6" max="6" width="55" hidden="1" customWidth="1"/>
  </cols>
  <sheetData>
    <row r="1" spans="1:6" x14ac:dyDescent="0.25">
      <c r="A1" s="3" t="s">
        <v>0</v>
      </c>
      <c r="B1" s="3" t="s">
        <v>202</v>
      </c>
      <c r="C1" s="3" t="s">
        <v>1</v>
      </c>
      <c r="D1" s="3" t="s">
        <v>203</v>
      </c>
      <c r="E1" s="3" t="s">
        <v>204</v>
      </c>
      <c r="F1" s="3"/>
    </row>
    <row r="2" spans="1:6" x14ac:dyDescent="0.25">
      <c r="A2" s="30" t="s">
        <v>18</v>
      </c>
      <c r="B2" s="31" t="s">
        <v>205</v>
      </c>
      <c r="C2" s="32" t="s">
        <v>206</v>
      </c>
      <c r="D2" s="31" t="s">
        <v>207</v>
      </c>
      <c r="E2" s="33">
        <v>18</v>
      </c>
      <c r="F2" s="17" t="str">
        <f t="shared" ref="F2:F33" si="0">A2&amp;" - "&amp;C2</f>
        <v>TUB_14_FLEX - Tubo de cobre 1/4" flexível</v>
      </c>
    </row>
    <row r="3" spans="1:6" x14ac:dyDescent="0.25">
      <c r="A3" s="30" t="s">
        <v>19</v>
      </c>
      <c r="B3" s="31" t="s">
        <v>205</v>
      </c>
      <c r="C3" s="32" t="s">
        <v>208</v>
      </c>
      <c r="D3" s="31" t="s">
        <v>207</v>
      </c>
      <c r="E3" s="33">
        <v>28</v>
      </c>
      <c r="F3" s="17" t="str">
        <f t="shared" si="0"/>
        <v>TUB_38_FLEX - Tubo de cobre 3/8" flexível</v>
      </c>
    </row>
    <row r="4" spans="1:6" x14ac:dyDescent="0.25">
      <c r="A4" s="30" t="s">
        <v>209</v>
      </c>
      <c r="B4" s="31" t="s">
        <v>205</v>
      </c>
      <c r="C4" s="32" t="s">
        <v>210</v>
      </c>
      <c r="D4" s="31" t="s">
        <v>207</v>
      </c>
      <c r="E4" s="33">
        <v>42</v>
      </c>
      <c r="F4" s="17" t="str">
        <f t="shared" si="0"/>
        <v>TUB_12_FLEX - Tubo de cobre 1/2" flexível</v>
      </c>
    </row>
    <row r="5" spans="1:6" x14ac:dyDescent="0.25">
      <c r="A5" s="30" t="s">
        <v>211</v>
      </c>
      <c r="B5" s="31" t="s">
        <v>205</v>
      </c>
      <c r="C5" s="32" t="s">
        <v>212</v>
      </c>
      <c r="D5" s="31" t="s">
        <v>207</v>
      </c>
      <c r="E5" s="33">
        <v>55</v>
      </c>
      <c r="F5" s="17" t="str">
        <f t="shared" si="0"/>
        <v>TUB_58_FLEX - Tubo de cobre 5/8" flexível</v>
      </c>
    </row>
    <row r="6" spans="1:6" x14ac:dyDescent="0.25">
      <c r="A6" s="30" t="s">
        <v>213</v>
      </c>
      <c r="B6" s="31" t="s">
        <v>205</v>
      </c>
      <c r="C6" s="32" t="s">
        <v>214</v>
      </c>
      <c r="D6" s="31" t="s">
        <v>207</v>
      </c>
      <c r="E6" s="33">
        <v>62</v>
      </c>
      <c r="F6" s="17" t="str">
        <f t="shared" si="0"/>
        <v>TUB_58_RIG - Tubo de cobre 5/8" rígido</v>
      </c>
    </row>
    <row r="7" spans="1:6" x14ac:dyDescent="0.25">
      <c r="A7" s="30" t="s">
        <v>215</v>
      </c>
      <c r="B7" s="31" t="s">
        <v>205</v>
      </c>
      <c r="C7" s="32" t="s">
        <v>216</v>
      </c>
      <c r="D7" s="31" t="s">
        <v>207</v>
      </c>
      <c r="E7" s="33">
        <v>72</v>
      </c>
      <c r="F7" s="17" t="str">
        <f t="shared" si="0"/>
        <v>TUB_34_FLEX - Tubo de cobre 3/4" flexível</v>
      </c>
    </row>
    <row r="8" spans="1:6" x14ac:dyDescent="0.25">
      <c r="A8" s="30" t="s">
        <v>217</v>
      </c>
      <c r="B8" s="31" t="s">
        <v>205</v>
      </c>
      <c r="C8" s="32" t="s">
        <v>218</v>
      </c>
      <c r="D8" s="31" t="s">
        <v>207</v>
      </c>
      <c r="E8" s="33">
        <v>80</v>
      </c>
      <c r="F8" s="17" t="str">
        <f t="shared" si="0"/>
        <v>TUB_34_RIG - Tubo de cobre 3/4" rígido</v>
      </c>
    </row>
    <row r="9" spans="1:6" x14ac:dyDescent="0.25">
      <c r="A9" s="30" t="s">
        <v>219</v>
      </c>
      <c r="B9" s="31" t="s">
        <v>205</v>
      </c>
      <c r="C9" s="32" t="s">
        <v>220</v>
      </c>
      <c r="D9" s="31" t="s">
        <v>207</v>
      </c>
      <c r="E9" s="33">
        <v>95</v>
      </c>
      <c r="F9" s="17" t="str">
        <f t="shared" si="0"/>
        <v>TUB_78_RIG - Tubo de cobre 7/8" rígido</v>
      </c>
    </row>
    <row r="10" spans="1:6" x14ac:dyDescent="0.25">
      <c r="A10" s="30" t="s">
        <v>221</v>
      </c>
      <c r="B10" s="31" t="s">
        <v>205</v>
      </c>
      <c r="C10" s="32" t="s">
        <v>222</v>
      </c>
      <c r="D10" s="31" t="s">
        <v>207</v>
      </c>
      <c r="E10" s="33">
        <v>135</v>
      </c>
      <c r="F10" s="17" t="str">
        <f t="shared" si="0"/>
        <v>TUB_118_RIG - Tubo de cobre 1.1/8" rígido</v>
      </c>
    </row>
    <row r="11" spans="1:6" x14ac:dyDescent="0.25">
      <c r="A11" s="30" t="s">
        <v>223</v>
      </c>
      <c r="B11" s="31" t="s">
        <v>205</v>
      </c>
      <c r="C11" s="32" t="s">
        <v>224</v>
      </c>
      <c r="D11" s="31" t="s">
        <v>207</v>
      </c>
      <c r="E11" s="33">
        <v>175</v>
      </c>
      <c r="F11" s="17" t="str">
        <f t="shared" si="0"/>
        <v>TUB_138_RIG - Tubo de cobre 1.3/8" rígido</v>
      </c>
    </row>
    <row r="12" spans="1:6" x14ac:dyDescent="0.25">
      <c r="A12" s="34" t="s">
        <v>20</v>
      </c>
      <c r="B12" s="35" t="s">
        <v>225</v>
      </c>
      <c r="C12" s="36" t="s">
        <v>226</v>
      </c>
      <c r="D12" s="35" t="s">
        <v>207</v>
      </c>
      <c r="E12" s="37">
        <v>8</v>
      </c>
      <c r="F12" s="17" t="str">
        <f t="shared" si="0"/>
        <v>ISO_14_ELA_E9 - Isolamento elastomérico p/ 1/4" esp. 9mm</v>
      </c>
    </row>
    <row r="13" spans="1:6" x14ac:dyDescent="0.25">
      <c r="A13" s="34" t="s">
        <v>227</v>
      </c>
      <c r="B13" s="35" t="s">
        <v>225</v>
      </c>
      <c r="C13" s="36" t="s">
        <v>228</v>
      </c>
      <c r="D13" s="35" t="s">
        <v>207</v>
      </c>
      <c r="E13" s="37">
        <v>12</v>
      </c>
      <c r="F13" s="17" t="str">
        <f t="shared" si="0"/>
        <v>ISO_14_ELA_E13 - Isolamento elastomérico p/ 1/4" esp. 13mm</v>
      </c>
    </row>
    <row r="14" spans="1:6" x14ac:dyDescent="0.25">
      <c r="A14" s="34" t="s">
        <v>21</v>
      </c>
      <c r="B14" s="35" t="s">
        <v>225</v>
      </c>
      <c r="C14" s="36" t="s">
        <v>229</v>
      </c>
      <c r="D14" s="35" t="s">
        <v>207</v>
      </c>
      <c r="E14" s="37">
        <v>10</v>
      </c>
      <c r="F14" s="17" t="str">
        <f t="shared" si="0"/>
        <v>ISO_38_ELA_E9 - Isolamento elastomérico p/ 3/8" esp. 9mm</v>
      </c>
    </row>
    <row r="15" spans="1:6" x14ac:dyDescent="0.25">
      <c r="A15" s="34" t="s">
        <v>230</v>
      </c>
      <c r="B15" s="35" t="s">
        <v>225</v>
      </c>
      <c r="C15" s="36" t="s">
        <v>231</v>
      </c>
      <c r="D15" s="35" t="s">
        <v>207</v>
      </c>
      <c r="E15" s="37">
        <v>14</v>
      </c>
      <c r="F15" s="17" t="str">
        <f t="shared" si="0"/>
        <v>ISO_38_ELA_E13 - Isolamento elastomérico p/ 3/8" esp. 13mm</v>
      </c>
    </row>
    <row r="16" spans="1:6" x14ac:dyDescent="0.25">
      <c r="A16" s="34" t="s">
        <v>232</v>
      </c>
      <c r="B16" s="35" t="s">
        <v>225</v>
      </c>
      <c r="C16" s="36" t="s">
        <v>233</v>
      </c>
      <c r="D16" s="35" t="s">
        <v>207</v>
      </c>
      <c r="E16" s="37">
        <v>12</v>
      </c>
      <c r="F16" s="17" t="str">
        <f t="shared" si="0"/>
        <v>ISO_12_ELA_E9 - Isolamento elastomérico p/ 1/2" esp. 9mm</v>
      </c>
    </row>
    <row r="17" spans="1:6" x14ac:dyDescent="0.25">
      <c r="A17" s="34" t="s">
        <v>234</v>
      </c>
      <c r="B17" s="35" t="s">
        <v>225</v>
      </c>
      <c r="C17" s="36" t="s">
        <v>235</v>
      </c>
      <c r="D17" s="35" t="s">
        <v>207</v>
      </c>
      <c r="E17" s="37">
        <v>16</v>
      </c>
      <c r="F17" s="17" t="str">
        <f t="shared" si="0"/>
        <v>ISO_12_ELA_E13 - Isolamento elastomérico p/ 1/2" esp. 13mm</v>
      </c>
    </row>
    <row r="18" spans="1:6" x14ac:dyDescent="0.25">
      <c r="A18" s="34" t="s">
        <v>236</v>
      </c>
      <c r="B18" s="35" t="s">
        <v>225</v>
      </c>
      <c r="C18" s="36" t="s">
        <v>237</v>
      </c>
      <c r="D18" s="35" t="s">
        <v>207</v>
      </c>
      <c r="E18" s="37">
        <v>14</v>
      </c>
      <c r="F18" s="17" t="str">
        <f t="shared" si="0"/>
        <v>ISO_58_ELA_E9 - Isolamento elastomérico p/ 5/8" esp. 9mm</v>
      </c>
    </row>
    <row r="19" spans="1:6" x14ac:dyDescent="0.25">
      <c r="A19" s="34" t="s">
        <v>238</v>
      </c>
      <c r="B19" s="35" t="s">
        <v>225</v>
      </c>
      <c r="C19" s="36" t="s">
        <v>239</v>
      </c>
      <c r="D19" s="35" t="s">
        <v>207</v>
      </c>
      <c r="E19" s="37">
        <v>22</v>
      </c>
      <c r="F19" s="17" t="str">
        <f t="shared" si="0"/>
        <v>ISO_58_ELA_E19 - Isolamento elastomérico p/ 5/8" esp. 19mm</v>
      </c>
    </row>
    <row r="20" spans="1:6" x14ac:dyDescent="0.25">
      <c r="A20" s="34" t="s">
        <v>240</v>
      </c>
      <c r="B20" s="35" t="s">
        <v>225</v>
      </c>
      <c r="C20" s="36" t="s">
        <v>241</v>
      </c>
      <c r="D20" s="35" t="s">
        <v>207</v>
      </c>
      <c r="E20" s="37">
        <v>16</v>
      </c>
      <c r="F20" s="17" t="str">
        <f t="shared" si="0"/>
        <v>ISO_34_ELA_E9 - Isolamento elastomérico p/ 3/4" esp. 9mm</v>
      </c>
    </row>
    <row r="21" spans="1:6" x14ac:dyDescent="0.25">
      <c r="A21" s="34" t="s">
        <v>242</v>
      </c>
      <c r="B21" s="35" t="s">
        <v>225</v>
      </c>
      <c r="C21" s="36" t="s">
        <v>243</v>
      </c>
      <c r="D21" s="35" t="s">
        <v>207</v>
      </c>
      <c r="E21" s="37">
        <v>25</v>
      </c>
      <c r="F21" s="17" t="str">
        <f t="shared" si="0"/>
        <v>ISO_34_ELA_E19 - Isolamento elastomérico p/ 3/4" esp. 19mm</v>
      </c>
    </row>
    <row r="22" spans="1:6" x14ac:dyDescent="0.25">
      <c r="A22" s="34" t="s">
        <v>244</v>
      </c>
      <c r="B22" s="35" t="s">
        <v>225</v>
      </c>
      <c r="C22" s="36" t="s">
        <v>245</v>
      </c>
      <c r="D22" s="35" t="s">
        <v>207</v>
      </c>
      <c r="E22" s="37">
        <v>28</v>
      </c>
      <c r="F22" s="17" t="str">
        <f t="shared" si="0"/>
        <v>ISO_78_ELA_E19 - Isolamento elastomérico p/ 7/8" esp. 19mm</v>
      </c>
    </row>
    <row r="23" spans="1:6" x14ac:dyDescent="0.25">
      <c r="A23" s="34" t="s">
        <v>246</v>
      </c>
      <c r="B23" s="35" t="s">
        <v>225</v>
      </c>
      <c r="C23" s="36" t="s">
        <v>247</v>
      </c>
      <c r="D23" s="35" t="s">
        <v>207</v>
      </c>
      <c r="E23" s="37">
        <v>38</v>
      </c>
      <c r="F23" s="17" t="str">
        <f t="shared" si="0"/>
        <v>ISO_118_ELA_E25 - Isolamento elastomérico p/ 1.1/8" esp. 25mm</v>
      </c>
    </row>
    <row r="24" spans="1:6" x14ac:dyDescent="0.25">
      <c r="A24" s="34" t="s">
        <v>248</v>
      </c>
      <c r="B24" s="35" t="s">
        <v>225</v>
      </c>
      <c r="C24" s="36" t="s">
        <v>249</v>
      </c>
      <c r="D24" s="35" t="s">
        <v>207</v>
      </c>
      <c r="E24" s="37">
        <v>48</v>
      </c>
      <c r="F24" s="17" t="str">
        <f t="shared" si="0"/>
        <v>ISO_138_ELA_E25 - Isolamento elastomérico p/ 1.3/8" esp. 25mm</v>
      </c>
    </row>
    <row r="25" spans="1:6" x14ac:dyDescent="0.25">
      <c r="A25" s="34" t="s">
        <v>250</v>
      </c>
      <c r="B25" s="35" t="s">
        <v>225</v>
      </c>
      <c r="C25" s="36" t="s">
        <v>251</v>
      </c>
      <c r="D25" s="35" t="s">
        <v>207</v>
      </c>
      <c r="E25" s="37">
        <v>6</v>
      </c>
      <c r="F25" s="17" t="str">
        <f t="shared" si="0"/>
        <v>ISO_14_POL_E10 - Isolamento polietileno p/ 1/4" esp. 10mm</v>
      </c>
    </row>
    <row r="26" spans="1:6" x14ac:dyDescent="0.25">
      <c r="A26" s="34" t="s">
        <v>252</v>
      </c>
      <c r="B26" s="35" t="s">
        <v>225</v>
      </c>
      <c r="C26" s="36" t="s">
        <v>253</v>
      </c>
      <c r="D26" s="35" t="s">
        <v>207</v>
      </c>
      <c r="E26" s="37">
        <v>7</v>
      </c>
      <c r="F26" s="17" t="str">
        <f t="shared" si="0"/>
        <v>ISO_38_POL_E10 - Isolamento polietileno p/ 3/8" esp. 10mm</v>
      </c>
    </row>
    <row r="27" spans="1:6" x14ac:dyDescent="0.25">
      <c r="A27" s="34" t="s">
        <v>254</v>
      </c>
      <c r="B27" s="35" t="s">
        <v>225</v>
      </c>
      <c r="C27" s="36" t="s">
        <v>255</v>
      </c>
      <c r="D27" s="35" t="s">
        <v>207</v>
      </c>
      <c r="E27" s="37">
        <v>8</v>
      </c>
      <c r="F27" s="17" t="str">
        <f t="shared" si="0"/>
        <v>ISO_12_POL_E10 - Isolamento polietileno p/ 1/2" esp. 10mm</v>
      </c>
    </row>
    <row r="28" spans="1:6" x14ac:dyDescent="0.25">
      <c r="A28" s="34" t="s">
        <v>256</v>
      </c>
      <c r="B28" s="35" t="s">
        <v>225</v>
      </c>
      <c r="C28" s="36" t="s">
        <v>257</v>
      </c>
      <c r="D28" s="35" t="s">
        <v>207</v>
      </c>
      <c r="E28" s="37">
        <v>9</v>
      </c>
      <c r="F28" s="17" t="str">
        <f t="shared" si="0"/>
        <v>ISO_58_POL_E10 - Isolamento polietileno p/ 5/8" esp. 10mm</v>
      </c>
    </row>
    <row r="29" spans="1:6" x14ac:dyDescent="0.25">
      <c r="A29" s="34" t="s">
        <v>258</v>
      </c>
      <c r="B29" s="35" t="s">
        <v>225</v>
      </c>
      <c r="C29" s="36" t="s">
        <v>259</v>
      </c>
      <c r="D29" s="35" t="s">
        <v>207</v>
      </c>
      <c r="E29" s="37">
        <v>10</v>
      </c>
      <c r="F29" s="17" t="str">
        <f t="shared" si="0"/>
        <v>ISO_34_POL_E10 - Isolamento polietileno p/ 3/4" esp. 10mm</v>
      </c>
    </row>
    <row r="30" spans="1:6" x14ac:dyDescent="0.25">
      <c r="A30" s="34" t="s">
        <v>22</v>
      </c>
      <c r="B30" s="35" t="s">
        <v>225</v>
      </c>
      <c r="C30" s="36" t="s">
        <v>260</v>
      </c>
      <c r="D30" s="35" t="s">
        <v>261</v>
      </c>
      <c r="E30" s="37">
        <v>25</v>
      </c>
      <c r="F30" s="17" t="str">
        <f t="shared" si="0"/>
        <v>ACA_FITA_TER - Fita isolante térmica (rolo 30m)</v>
      </c>
    </row>
    <row r="31" spans="1:6" x14ac:dyDescent="0.25">
      <c r="A31" s="38" t="s">
        <v>262</v>
      </c>
      <c r="B31" s="39" t="s">
        <v>263</v>
      </c>
      <c r="C31" s="40" t="s">
        <v>264</v>
      </c>
      <c r="D31" s="39" t="s">
        <v>207</v>
      </c>
      <c r="E31" s="41">
        <v>6.5</v>
      </c>
      <c r="F31" s="17" t="str">
        <f t="shared" si="0"/>
        <v>CAB_PP_15 - Cabo PP 3x1,5mm²</v>
      </c>
    </row>
    <row r="32" spans="1:6" x14ac:dyDescent="0.25">
      <c r="A32" s="38" t="s">
        <v>52</v>
      </c>
      <c r="B32" s="39" t="s">
        <v>263</v>
      </c>
      <c r="C32" s="40" t="s">
        <v>265</v>
      </c>
      <c r="D32" s="39" t="s">
        <v>207</v>
      </c>
      <c r="E32" s="41">
        <v>9</v>
      </c>
      <c r="F32" s="17" t="str">
        <f t="shared" si="0"/>
        <v>CAB_PP_25 - Cabo PP 3x2,5mm²</v>
      </c>
    </row>
    <row r="33" spans="1:6" x14ac:dyDescent="0.25">
      <c r="A33" s="38" t="s">
        <v>266</v>
      </c>
      <c r="B33" s="39" t="s">
        <v>263</v>
      </c>
      <c r="C33" s="40" t="s">
        <v>267</v>
      </c>
      <c r="D33" s="39" t="s">
        <v>207</v>
      </c>
      <c r="E33" s="41">
        <v>14</v>
      </c>
      <c r="F33" s="17" t="str">
        <f t="shared" si="0"/>
        <v>CAB_PP_40 - Cabo PP 3x4mm²</v>
      </c>
    </row>
    <row r="34" spans="1:6" x14ac:dyDescent="0.25">
      <c r="A34" s="38" t="s">
        <v>268</v>
      </c>
      <c r="B34" s="39" t="s">
        <v>263</v>
      </c>
      <c r="C34" s="40" t="s">
        <v>269</v>
      </c>
      <c r="D34" s="39" t="s">
        <v>207</v>
      </c>
      <c r="E34" s="41">
        <v>22</v>
      </c>
      <c r="F34" s="17" t="str">
        <f t="shared" ref="F34:F65" si="1">A34&amp;" - "&amp;C34</f>
        <v>CAB_PP_60 - Cabo PP 3x6mm²</v>
      </c>
    </row>
    <row r="35" spans="1:6" x14ac:dyDescent="0.25">
      <c r="A35" s="38" t="s">
        <v>102</v>
      </c>
      <c r="B35" s="39" t="s">
        <v>263</v>
      </c>
      <c r="C35" s="40" t="s">
        <v>270</v>
      </c>
      <c r="D35" s="39" t="s">
        <v>207</v>
      </c>
      <c r="E35" s="41">
        <v>3.5</v>
      </c>
      <c r="F35" s="17" t="str">
        <f t="shared" si="1"/>
        <v>CAB_FLEX_25 - Cabo flexível 2,5mm² (fase/neutro/terra)</v>
      </c>
    </row>
    <row r="36" spans="1:6" x14ac:dyDescent="0.25">
      <c r="A36" s="38" t="s">
        <v>271</v>
      </c>
      <c r="B36" s="39" t="s">
        <v>263</v>
      </c>
      <c r="C36" s="40" t="s">
        <v>272</v>
      </c>
      <c r="D36" s="39" t="s">
        <v>207</v>
      </c>
      <c r="E36" s="41">
        <v>5.5</v>
      </c>
      <c r="F36" s="17" t="str">
        <f t="shared" si="1"/>
        <v>CAB_FLEX_40 - Cabo flexível 4mm² (fase/neutro/terra)</v>
      </c>
    </row>
    <row r="37" spans="1:6" x14ac:dyDescent="0.25">
      <c r="A37" s="38" t="s">
        <v>273</v>
      </c>
      <c r="B37" s="39" t="s">
        <v>263</v>
      </c>
      <c r="C37" s="40" t="s">
        <v>274</v>
      </c>
      <c r="D37" s="39" t="s">
        <v>207</v>
      </c>
      <c r="E37" s="41">
        <v>8</v>
      </c>
      <c r="F37" s="17" t="str">
        <f t="shared" si="1"/>
        <v>CAB_FLEX_60 - Cabo flexível 6mm² (fase/neutro/terra)</v>
      </c>
    </row>
    <row r="38" spans="1:6" x14ac:dyDescent="0.25">
      <c r="A38" s="38" t="s">
        <v>23</v>
      </c>
      <c r="B38" s="39" t="s">
        <v>263</v>
      </c>
      <c r="C38" s="40" t="s">
        <v>275</v>
      </c>
      <c r="D38" s="39" t="s">
        <v>207</v>
      </c>
      <c r="E38" s="41">
        <v>3</v>
      </c>
      <c r="F38" s="17" t="str">
        <f t="shared" si="1"/>
        <v>CAB_COM - Cabo de comunicação 2x0,75mm²</v>
      </c>
    </row>
    <row r="39" spans="1:6" x14ac:dyDescent="0.25">
      <c r="A39" s="38" t="s">
        <v>276</v>
      </c>
      <c r="B39" s="39" t="s">
        <v>277</v>
      </c>
      <c r="C39" s="40" t="s">
        <v>278</v>
      </c>
      <c r="D39" s="39" t="s">
        <v>261</v>
      </c>
      <c r="E39" s="41">
        <v>18</v>
      </c>
      <c r="F39" s="17" t="str">
        <f t="shared" si="1"/>
        <v>DISJ_M_10 - Disjuntor monopolar 10A</v>
      </c>
    </row>
    <row r="40" spans="1:6" x14ac:dyDescent="0.25">
      <c r="A40" s="38" t="s">
        <v>101</v>
      </c>
      <c r="B40" s="39" t="s">
        <v>277</v>
      </c>
      <c r="C40" s="40" t="s">
        <v>279</v>
      </c>
      <c r="D40" s="39" t="s">
        <v>261</v>
      </c>
      <c r="E40" s="41">
        <v>18</v>
      </c>
      <c r="F40" s="17" t="str">
        <f t="shared" si="1"/>
        <v>DISJ_M_16 - Disjuntor monopolar 16A</v>
      </c>
    </row>
    <row r="41" spans="1:6" x14ac:dyDescent="0.25">
      <c r="A41" s="38" t="s">
        <v>280</v>
      </c>
      <c r="B41" s="39" t="s">
        <v>277</v>
      </c>
      <c r="C41" s="40" t="s">
        <v>281</v>
      </c>
      <c r="D41" s="39" t="s">
        <v>261</v>
      </c>
      <c r="E41" s="41">
        <v>18</v>
      </c>
      <c r="F41" s="17" t="str">
        <f t="shared" si="1"/>
        <v>DISJ_M_20 - Disjuntor monopolar 20A</v>
      </c>
    </row>
    <row r="42" spans="1:6" x14ac:dyDescent="0.25">
      <c r="A42" s="38" t="s">
        <v>282</v>
      </c>
      <c r="B42" s="39" t="s">
        <v>277</v>
      </c>
      <c r="C42" s="40" t="s">
        <v>283</v>
      </c>
      <c r="D42" s="39" t="s">
        <v>261</v>
      </c>
      <c r="E42" s="41">
        <v>45</v>
      </c>
      <c r="F42" s="17" t="str">
        <f t="shared" si="1"/>
        <v>DISJ_B_20 - Disjuntor bipolar 20A</v>
      </c>
    </row>
    <row r="43" spans="1:6" x14ac:dyDescent="0.25">
      <c r="A43" s="38" t="s">
        <v>284</v>
      </c>
      <c r="B43" s="39" t="s">
        <v>277</v>
      </c>
      <c r="C43" s="40" t="s">
        <v>285</v>
      </c>
      <c r="D43" s="39" t="s">
        <v>261</v>
      </c>
      <c r="E43" s="41">
        <v>48</v>
      </c>
      <c r="F43" s="17" t="str">
        <f t="shared" si="1"/>
        <v>DISJ_B_25 - Disjuntor bipolar 25A</v>
      </c>
    </row>
    <row r="44" spans="1:6" x14ac:dyDescent="0.25">
      <c r="A44" s="38" t="s">
        <v>286</v>
      </c>
      <c r="B44" s="39" t="s">
        <v>277</v>
      </c>
      <c r="C44" s="40" t="s">
        <v>287</v>
      </c>
      <c r="D44" s="39" t="s">
        <v>261</v>
      </c>
      <c r="E44" s="41">
        <v>52</v>
      </c>
      <c r="F44" s="17" t="str">
        <f t="shared" si="1"/>
        <v>DISJ_B_32 - Disjuntor bipolar 32A</v>
      </c>
    </row>
    <row r="45" spans="1:6" x14ac:dyDescent="0.25">
      <c r="A45" s="38" t="s">
        <v>288</v>
      </c>
      <c r="B45" s="39" t="s">
        <v>277</v>
      </c>
      <c r="C45" s="40" t="s">
        <v>289</v>
      </c>
      <c r="D45" s="39" t="s">
        <v>261</v>
      </c>
      <c r="E45" s="41">
        <v>58</v>
      </c>
      <c r="F45" s="17" t="str">
        <f t="shared" si="1"/>
        <v>DISJ_B_40 - Disjuntor bipolar 40A</v>
      </c>
    </row>
    <row r="46" spans="1:6" x14ac:dyDescent="0.25">
      <c r="A46" s="38" t="s">
        <v>290</v>
      </c>
      <c r="B46" s="39" t="s">
        <v>277</v>
      </c>
      <c r="C46" s="40" t="s">
        <v>291</v>
      </c>
      <c r="D46" s="39" t="s">
        <v>261</v>
      </c>
      <c r="E46" s="41">
        <v>25</v>
      </c>
      <c r="F46" s="17" t="str">
        <f t="shared" si="1"/>
        <v>DISJ_CX - Caixa de sobrepor para disjuntor</v>
      </c>
    </row>
    <row r="47" spans="1:6" x14ac:dyDescent="0.25">
      <c r="A47" s="38" t="s">
        <v>53</v>
      </c>
      <c r="B47" s="39" t="s">
        <v>292</v>
      </c>
      <c r="C47" s="40" t="s">
        <v>293</v>
      </c>
      <c r="D47" s="39" t="s">
        <v>207</v>
      </c>
      <c r="E47" s="41">
        <v>2.5</v>
      </c>
      <c r="F47" s="17" t="str">
        <f t="shared" si="1"/>
        <v>COND_CORR_34 - Eletroduto corrugado 3/4"</v>
      </c>
    </row>
    <row r="48" spans="1:6" x14ac:dyDescent="0.25">
      <c r="A48" s="38" t="s">
        <v>294</v>
      </c>
      <c r="B48" s="39" t="s">
        <v>292</v>
      </c>
      <c r="C48" s="40" t="s">
        <v>295</v>
      </c>
      <c r="D48" s="39" t="s">
        <v>207</v>
      </c>
      <c r="E48" s="41">
        <v>3.5</v>
      </c>
      <c r="F48" s="17" t="str">
        <f t="shared" si="1"/>
        <v>COND_CORR_100 - Eletroduto corrugado 1"</v>
      </c>
    </row>
    <row r="49" spans="1:6" x14ac:dyDescent="0.25">
      <c r="A49" s="38" t="s">
        <v>54</v>
      </c>
      <c r="B49" s="39" t="s">
        <v>292</v>
      </c>
      <c r="C49" s="40" t="s">
        <v>296</v>
      </c>
      <c r="D49" s="39" t="s">
        <v>261</v>
      </c>
      <c r="E49" s="41">
        <v>1.5</v>
      </c>
      <c r="F49" s="17" t="str">
        <f t="shared" si="1"/>
        <v>COND_CURV_34 - Curva 90° eletroduto 3/4"</v>
      </c>
    </row>
    <row r="50" spans="1:6" x14ac:dyDescent="0.25">
      <c r="A50" s="38" t="s">
        <v>55</v>
      </c>
      <c r="B50" s="39" t="s">
        <v>292</v>
      </c>
      <c r="C50" s="40" t="s">
        <v>297</v>
      </c>
      <c r="D50" s="39" t="s">
        <v>261</v>
      </c>
      <c r="E50" s="41">
        <v>0.8</v>
      </c>
      <c r="F50" s="17" t="str">
        <f t="shared" si="1"/>
        <v>COND_ABRC_34 - Abraçadeira para eletroduto 3/4"</v>
      </c>
    </row>
    <row r="51" spans="1:6" x14ac:dyDescent="0.25">
      <c r="A51" s="42" t="s">
        <v>61</v>
      </c>
      <c r="B51" s="43" t="s">
        <v>298</v>
      </c>
      <c r="C51" s="44" t="s">
        <v>299</v>
      </c>
      <c r="D51" s="43" t="s">
        <v>207</v>
      </c>
      <c r="E51" s="45">
        <v>4</v>
      </c>
      <c r="F51" s="17" t="str">
        <f t="shared" si="1"/>
        <v>DRN_CRIS_34 - Mangueira cristal 3/4"</v>
      </c>
    </row>
    <row r="52" spans="1:6" x14ac:dyDescent="0.25">
      <c r="A52" s="42" t="s">
        <v>300</v>
      </c>
      <c r="B52" s="43" t="s">
        <v>298</v>
      </c>
      <c r="C52" s="44" t="s">
        <v>301</v>
      </c>
      <c r="D52" s="43" t="s">
        <v>207</v>
      </c>
      <c r="E52" s="45">
        <v>6</v>
      </c>
      <c r="F52" s="17" t="str">
        <f t="shared" si="1"/>
        <v>DRN_CRIS_100 - Mangueira cristal 1"</v>
      </c>
    </row>
    <row r="53" spans="1:6" x14ac:dyDescent="0.25">
      <c r="A53" s="42" t="s">
        <v>66</v>
      </c>
      <c r="B53" s="43" t="s">
        <v>298</v>
      </c>
      <c r="C53" s="44" t="s">
        <v>302</v>
      </c>
      <c r="D53" s="43" t="s">
        <v>207</v>
      </c>
      <c r="E53" s="45">
        <v>8</v>
      </c>
      <c r="F53" s="17" t="str">
        <f t="shared" si="1"/>
        <v>DRN_PVC_25 - Tubo PVC esgoto 25mm</v>
      </c>
    </row>
    <row r="54" spans="1:6" x14ac:dyDescent="0.25">
      <c r="A54" s="42" t="s">
        <v>303</v>
      </c>
      <c r="B54" s="43" t="s">
        <v>298</v>
      </c>
      <c r="C54" s="44" t="s">
        <v>304</v>
      </c>
      <c r="D54" s="43" t="s">
        <v>207</v>
      </c>
      <c r="E54" s="45">
        <v>10</v>
      </c>
      <c r="F54" s="17" t="str">
        <f t="shared" si="1"/>
        <v>DRN_PVC_32 - Tubo PVC esgoto 32mm</v>
      </c>
    </row>
    <row r="55" spans="1:6" x14ac:dyDescent="0.25">
      <c r="A55" s="42" t="s">
        <v>67</v>
      </c>
      <c r="B55" s="43" t="s">
        <v>298</v>
      </c>
      <c r="C55" s="44" t="s">
        <v>305</v>
      </c>
      <c r="D55" s="43" t="s">
        <v>261</v>
      </c>
      <c r="E55" s="45">
        <v>3.5</v>
      </c>
      <c r="F55" s="17" t="str">
        <f t="shared" si="1"/>
        <v>DRN_CURV_25 - Curva 90° PVC 25mm</v>
      </c>
    </row>
    <row r="56" spans="1:6" x14ac:dyDescent="0.25">
      <c r="A56" s="42" t="s">
        <v>68</v>
      </c>
      <c r="B56" s="43" t="s">
        <v>298</v>
      </c>
      <c r="C56" s="44" t="s">
        <v>306</v>
      </c>
      <c r="D56" s="43" t="s">
        <v>261</v>
      </c>
      <c r="E56" s="45">
        <v>2</v>
      </c>
      <c r="F56" s="17" t="str">
        <f t="shared" si="1"/>
        <v>DRN_LUVA_25 - Luva PVC 25mm</v>
      </c>
    </row>
    <row r="57" spans="1:6" x14ac:dyDescent="0.25">
      <c r="A57" s="42" t="s">
        <v>105</v>
      </c>
      <c r="B57" s="43" t="s">
        <v>298</v>
      </c>
      <c r="C57" s="44" t="s">
        <v>307</v>
      </c>
      <c r="D57" s="43" t="s">
        <v>261</v>
      </c>
      <c r="E57" s="45">
        <v>15</v>
      </c>
      <c r="F57" s="17" t="str">
        <f t="shared" si="1"/>
        <v>DRN_SIFAO - Sifão sanfonado universal</v>
      </c>
    </row>
    <row r="58" spans="1:6" x14ac:dyDescent="0.25">
      <c r="A58" s="42" t="s">
        <v>69</v>
      </c>
      <c r="B58" s="43" t="s">
        <v>298</v>
      </c>
      <c r="C58" s="44" t="s">
        <v>308</v>
      </c>
      <c r="D58" s="43" t="s">
        <v>261</v>
      </c>
      <c r="E58" s="45">
        <v>12</v>
      </c>
      <c r="F58" s="17" t="str">
        <f t="shared" si="1"/>
        <v>DRN_COLA - Cola PVC (tubo 75g)</v>
      </c>
    </row>
    <row r="59" spans="1:6" x14ac:dyDescent="0.25">
      <c r="A59" s="42" t="s">
        <v>62</v>
      </c>
      <c r="B59" s="43" t="s">
        <v>298</v>
      </c>
      <c r="C59" s="44" t="s">
        <v>309</v>
      </c>
      <c r="D59" s="43" t="s">
        <v>261</v>
      </c>
      <c r="E59" s="45">
        <v>0.5</v>
      </c>
      <c r="F59" s="17" t="str">
        <f t="shared" si="1"/>
        <v>DRN_ABRC - Abraçadeira nylon 3/4"</v>
      </c>
    </row>
    <row r="60" spans="1:6" x14ac:dyDescent="0.25">
      <c r="A60" s="46" t="s">
        <v>42</v>
      </c>
      <c r="B60" s="47" t="s">
        <v>310</v>
      </c>
      <c r="C60" s="48" t="s">
        <v>311</v>
      </c>
      <c r="D60" s="47" t="s">
        <v>312</v>
      </c>
      <c r="E60" s="49">
        <v>85</v>
      </c>
      <c r="F60" s="17" t="str">
        <f t="shared" si="1"/>
        <v>SUP_MF_400 - Suporte mão francesa 400mm (par)</v>
      </c>
    </row>
    <row r="61" spans="1:6" x14ac:dyDescent="0.25">
      <c r="A61" s="46" t="s">
        <v>88</v>
      </c>
      <c r="B61" s="47" t="s">
        <v>310</v>
      </c>
      <c r="C61" s="48" t="s">
        <v>313</v>
      </c>
      <c r="D61" s="47" t="s">
        <v>312</v>
      </c>
      <c r="E61" s="49">
        <v>110</v>
      </c>
      <c r="F61" s="17" t="str">
        <f t="shared" si="1"/>
        <v>SUP_MF_500 - Suporte mão francesa 500mm (par)</v>
      </c>
    </row>
    <row r="62" spans="1:6" x14ac:dyDescent="0.25">
      <c r="A62" s="46" t="s">
        <v>314</v>
      </c>
      <c r="B62" s="47" t="s">
        <v>310</v>
      </c>
      <c r="C62" s="48" t="s">
        <v>315</v>
      </c>
      <c r="D62" s="47" t="s">
        <v>312</v>
      </c>
      <c r="E62" s="49">
        <v>140</v>
      </c>
      <c r="F62" s="17" t="str">
        <f t="shared" si="1"/>
        <v>SUP_MF_600 - Suporte mão francesa 600mm (par)</v>
      </c>
    </row>
    <row r="63" spans="1:6" x14ac:dyDescent="0.25">
      <c r="A63" s="46" t="s">
        <v>47</v>
      </c>
      <c r="B63" s="47" t="s">
        <v>310</v>
      </c>
      <c r="C63" s="48" t="s">
        <v>316</v>
      </c>
      <c r="D63" s="47" t="s">
        <v>317</v>
      </c>
      <c r="E63" s="49">
        <v>35</v>
      </c>
      <c r="F63" s="17" t="str">
        <f t="shared" si="1"/>
        <v>SUP_CALCO - Calço borracha antivibração (jg 4pç)</v>
      </c>
    </row>
    <row r="64" spans="1:6" x14ac:dyDescent="0.25">
      <c r="A64" s="46" t="s">
        <v>24</v>
      </c>
      <c r="B64" s="47" t="s">
        <v>310</v>
      </c>
      <c r="C64" s="48" t="s">
        <v>318</v>
      </c>
      <c r="D64" s="47" t="s">
        <v>261</v>
      </c>
      <c r="E64" s="49">
        <v>45</v>
      </c>
      <c r="F64" s="17" t="str">
        <f t="shared" si="1"/>
        <v>SUP_EVAP - Suporte evaporadora universal</v>
      </c>
    </row>
    <row r="65" spans="1:6" x14ac:dyDescent="0.25">
      <c r="A65" s="46" t="s">
        <v>43</v>
      </c>
      <c r="B65" s="47" t="s">
        <v>310</v>
      </c>
      <c r="C65" s="48" t="s">
        <v>319</v>
      </c>
      <c r="D65" s="47" t="s">
        <v>261</v>
      </c>
      <c r="E65" s="49">
        <v>4.5</v>
      </c>
      <c r="F65" s="17" t="str">
        <f t="shared" si="1"/>
        <v>SUP_PARF_100 - Parafuso sextavado 3/8"x100mm c/ bucha</v>
      </c>
    </row>
    <row r="66" spans="1:6" x14ac:dyDescent="0.25">
      <c r="A66" s="46" t="s">
        <v>89</v>
      </c>
      <c r="B66" s="47" t="s">
        <v>310</v>
      </c>
      <c r="C66" s="48" t="s">
        <v>320</v>
      </c>
      <c r="D66" s="47" t="s">
        <v>261</v>
      </c>
      <c r="E66" s="49">
        <v>6</v>
      </c>
      <c r="F66" s="17" t="str">
        <f t="shared" ref="F66:F86" si="2">A66&amp;" - "&amp;C66</f>
        <v>SUP_PARF_150 - Parafuso sextavado 3/8"x150mm c/ bucha</v>
      </c>
    </row>
    <row r="67" spans="1:6" x14ac:dyDescent="0.25">
      <c r="A67" s="46" t="s">
        <v>25</v>
      </c>
      <c r="B67" s="47" t="s">
        <v>310</v>
      </c>
      <c r="C67" s="48" t="s">
        <v>321</v>
      </c>
      <c r="D67" s="47" t="s">
        <v>261</v>
      </c>
      <c r="E67" s="49">
        <v>0.8</v>
      </c>
      <c r="F67" s="17" t="str">
        <f t="shared" si="2"/>
        <v>SUP_BUCHA - Bucha nylon S10</v>
      </c>
    </row>
    <row r="68" spans="1:6" x14ac:dyDescent="0.25">
      <c r="A68" s="46" t="s">
        <v>26</v>
      </c>
      <c r="B68" s="47" t="s">
        <v>310</v>
      </c>
      <c r="C68" s="48" t="s">
        <v>322</v>
      </c>
      <c r="D68" s="47" t="s">
        <v>261</v>
      </c>
      <c r="E68" s="49">
        <v>0.5</v>
      </c>
      <c r="F68" s="17" t="str">
        <f t="shared" si="2"/>
        <v>SUP_CHIP - Parafuso chipboard 6x60mm</v>
      </c>
    </row>
    <row r="69" spans="1:6" x14ac:dyDescent="0.25">
      <c r="A69" s="50" t="s">
        <v>77</v>
      </c>
      <c r="B69" s="51" t="s">
        <v>323</v>
      </c>
      <c r="C69" s="52" t="s">
        <v>324</v>
      </c>
      <c r="D69" s="51" t="s">
        <v>207</v>
      </c>
      <c r="E69" s="53">
        <v>18</v>
      </c>
      <c r="F69" s="17" t="str">
        <f t="shared" si="2"/>
        <v>ACA_CAN_50 - Canaleta PVC 50x50mm</v>
      </c>
    </row>
    <row r="70" spans="1:6" x14ac:dyDescent="0.25">
      <c r="A70" s="50" t="s">
        <v>325</v>
      </c>
      <c r="B70" s="51" t="s">
        <v>323</v>
      </c>
      <c r="C70" s="52" t="s">
        <v>326</v>
      </c>
      <c r="D70" s="51" t="s">
        <v>207</v>
      </c>
      <c r="E70" s="53">
        <v>25</v>
      </c>
      <c r="F70" s="17" t="str">
        <f t="shared" si="2"/>
        <v>ACA_CAN_70 - Canaleta PVC 70x70mm</v>
      </c>
    </row>
    <row r="71" spans="1:6" x14ac:dyDescent="0.25">
      <c r="A71" s="50" t="s">
        <v>327</v>
      </c>
      <c r="B71" s="51" t="s">
        <v>323</v>
      </c>
      <c r="C71" s="52" t="s">
        <v>328</v>
      </c>
      <c r="D71" s="51" t="s">
        <v>207</v>
      </c>
      <c r="E71" s="53">
        <v>32</v>
      </c>
      <c r="F71" s="17" t="str">
        <f t="shared" si="2"/>
        <v>ACA_CAN_100 - Canaleta PVC 100x50mm</v>
      </c>
    </row>
    <row r="72" spans="1:6" x14ac:dyDescent="0.25">
      <c r="A72" s="50" t="s">
        <v>329</v>
      </c>
      <c r="B72" s="51" t="s">
        <v>323</v>
      </c>
      <c r="C72" s="52" t="s">
        <v>330</v>
      </c>
      <c r="D72" s="51" t="s">
        <v>261</v>
      </c>
      <c r="E72" s="53">
        <v>12</v>
      </c>
      <c r="F72" s="17" t="str">
        <f t="shared" si="2"/>
        <v>ACA_CURV_50 - Curva 90° canaleta 50mm</v>
      </c>
    </row>
    <row r="73" spans="1:6" x14ac:dyDescent="0.25">
      <c r="A73" s="50" t="s">
        <v>331</v>
      </c>
      <c r="B73" s="51" t="s">
        <v>323</v>
      </c>
      <c r="C73" s="52" t="s">
        <v>332</v>
      </c>
      <c r="D73" s="51" t="s">
        <v>207</v>
      </c>
      <c r="E73" s="53">
        <v>8</v>
      </c>
      <c r="F73" s="17" t="str">
        <f t="shared" si="2"/>
        <v>ACA_TAMP_50 - Tampa canaleta 50mm</v>
      </c>
    </row>
    <row r="74" spans="1:6" x14ac:dyDescent="0.25">
      <c r="A74" s="50" t="s">
        <v>27</v>
      </c>
      <c r="B74" s="51" t="s">
        <v>323</v>
      </c>
      <c r="C74" s="52" t="s">
        <v>333</v>
      </c>
      <c r="D74" s="51" t="s">
        <v>261</v>
      </c>
      <c r="E74" s="53">
        <v>28</v>
      </c>
      <c r="F74" s="17" t="str">
        <f t="shared" si="2"/>
        <v>ACA_ESPUMA - Espuma expansiva 500ml</v>
      </c>
    </row>
    <row r="75" spans="1:6" x14ac:dyDescent="0.25">
      <c r="A75" s="50" t="s">
        <v>72</v>
      </c>
      <c r="B75" s="51" t="s">
        <v>323</v>
      </c>
      <c r="C75" s="52" t="s">
        <v>334</v>
      </c>
      <c r="D75" s="51" t="s">
        <v>261</v>
      </c>
      <c r="E75" s="53">
        <v>18</v>
      </c>
      <c r="F75" s="17" t="str">
        <f t="shared" si="2"/>
        <v>ACA_MASSA - Massa de calafetar 400g</v>
      </c>
    </row>
    <row r="76" spans="1:6" x14ac:dyDescent="0.25">
      <c r="A76" s="50" t="s">
        <v>28</v>
      </c>
      <c r="B76" s="51" t="s">
        <v>323</v>
      </c>
      <c r="C76" s="52" t="s">
        <v>335</v>
      </c>
      <c r="D76" s="51" t="s">
        <v>261</v>
      </c>
      <c r="E76" s="53">
        <v>8</v>
      </c>
      <c r="F76" s="17" t="str">
        <f t="shared" si="2"/>
        <v>ACA_FITA_ISO - Fita isolante preta 20m</v>
      </c>
    </row>
    <row r="77" spans="1:6" x14ac:dyDescent="0.25">
      <c r="A77" s="50" t="s">
        <v>29</v>
      </c>
      <c r="B77" s="51" t="s">
        <v>323</v>
      </c>
      <c r="C77" s="52" t="s">
        <v>336</v>
      </c>
      <c r="D77" s="51" t="s">
        <v>261</v>
      </c>
      <c r="E77" s="53">
        <v>25</v>
      </c>
      <c r="F77" s="17" t="str">
        <f t="shared" si="2"/>
        <v>ACA_FITA_AUT - Fita autofusão 10m</v>
      </c>
    </row>
    <row r="78" spans="1:6" x14ac:dyDescent="0.25">
      <c r="A78" s="54" t="s">
        <v>110</v>
      </c>
      <c r="B78" s="55" t="s">
        <v>337</v>
      </c>
      <c r="C78" s="56" t="s">
        <v>338</v>
      </c>
      <c r="D78" s="55" t="s">
        <v>339</v>
      </c>
      <c r="E78" s="57">
        <v>95</v>
      </c>
      <c r="F78" s="17" t="str">
        <f t="shared" si="2"/>
        <v>GAS_R410A - Gás refrigerante R-410A</v>
      </c>
    </row>
    <row r="79" spans="1:6" x14ac:dyDescent="0.25">
      <c r="A79" s="54" t="s">
        <v>340</v>
      </c>
      <c r="B79" s="55" t="s">
        <v>337</v>
      </c>
      <c r="C79" s="56" t="s">
        <v>341</v>
      </c>
      <c r="D79" s="55" t="s">
        <v>339</v>
      </c>
      <c r="E79" s="57">
        <v>75</v>
      </c>
      <c r="F79" s="17" t="str">
        <f t="shared" si="2"/>
        <v>GAS_R22 - Gás refrigerante R-22</v>
      </c>
    </row>
    <row r="80" spans="1:6" x14ac:dyDescent="0.25">
      <c r="A80" s="54" t="s">
        <v>342</v>
      </c>
      <c r="B80" s="55" t="s">
        <v>337</v>
      </c>
      <c r="C80" s="56" t="s">
        <v>343</v>
      </c>
      <c r="D80" s="55" t="s">
        <v>339</v>
      </c>
      <c r="E80" s="57">
        <v>85</v>
      </c>
      <c r="F80" s="17" t="str">
        <f t="shared" si="2"/>
        <v>GAS_R32 - Gás refrigerante R-32</v>
      </c>
    </row>
    <row r="81" spans="1:6" x14ac:dyDescent="0.25">
      <c r="A81" s="54" t="s">
        <v>344</v>
      </c>
      <c r="B81" s="55" t="s">
        <v>337</v>
      </c>
      <c r="C81" s="56" t="s">
        <v>345</v>
      </c>
      <c r="D81" s="55" t="s">
        <v>261</v>
      </c>
      <c r="E81" s="57">
        <v>35</v>
      </c>
      <c r="F81" s="17" t="str">
        <f t="shared" si="2"/>
        <v>GAS_N2 - Nitrogênio (carga teste)</v>
      </c>
    </row>
    <row r="82" spans="1:6" x14ac:dyDescent="0.25">
      <c r="A82" s="54" t="s">
        <v>30</v>
      </c>
      <c r="B82" s="55" t="s">
        <v>337</v>
      </c>
      <c r="C82" s="56" t="s">
        <v>346</v>
      </c>
      <c r="D82" s="55" t="s">
        <v>261</v>
      </c>
      <c r="E82" s="57">
        <v>18</v>
      </c>
      <c r="F82" s="17" t="str">
        <f t="shared" si="2"/>
        <v>SOL_PRATA - Vareta solda prata 5%</v>
      </c>
    </row>
    <row r="83" spans="1:6" x14ac:dyDescent="0.25">
      <c r="A83" s="54" t="s">
        <v>31</v>
      </c>
      <c r="B83" s="55" t="s">
        <v>337</v>
      </c>
      <c r="C83" s="56" t="s">
        <v>347</v>
      </c>
      <c r="D83" s="55" t="s">
        <v>261</v>
      </c>
      <c r="E83" s="57">
        <v>22</v>
      </c>
      <c r="F83" s="17" t="str">
        <f t="shared" si="2"/>
        <v>SOL_FLUXO - Fluxo para solda 100g</v>
      </c>
    </row>
    <row r="84" spans="1:6" x14ac:dyDescent="0.25">
      <c r="A84" s="58" t="s">
        <v>82</v>
      </c>
      <c r="B84" s="59" t="s">
        <v>348</v>
      </c>
      <c r="C84" s="60" t="s">
        <v>349</v>
      </c>
      <c r="D84" s="59" t="s">
        <v>350</v>
      </c>
      <c r="E84" s="61">
        <v>28</v>
      </c>
      <c r="F84" s="17" t="str">
        <f t="shared" si="2"/>
        <v>ALV_ARG - Argamassa pronta 20kg</v>
      </c>
    </row>
    <row r="85" spans="1:6" x14ac:dyDescent="0.25">
      <c r="A85" s="58" t="s">
        <v>83</v>
      </c>
      <c r="B85" s="59" t="s">
        <v>348</v>
      </c>
      <c r="C85" s="60" t="s">
        <v>351</v>
      </c>
      <c r="D85" s="59" t="s">
        <v>261</v>
      </c>
      <c r="E85" s="61">
        <v>1.2</v>
      </c>
      <c r="F85" s="17" t="str">
        <f t="shared" si="2"/>
        <v>ALV_TIJ - Tijolo cerâmico 6 furos</v>
      </c>
    </row>
    <row r="86" spans="1:6" x14ac:dyDescent="0.25">
      <c r="A86" s="58" t="s">
        <v>352</v>
      </c>
      <c r="B86" s="59" t="s">
        <v>348</v>
      </c>
      <c r="C86" s="60" t="s">
        <v>353</v>
      </c>
      <c r="D86" s="59" t="s">
        <v>350</v>
      </c>
      <c r="E86" s="61">
        <v>18</v>
      </c>
      <c r="F86" s="17" t="str">
        <f t="shared" si="2"/>
        <v>ALV_GESSO - Gesso cola 5kg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F10"/>
  <sheetViews>
    <sheetView workbookViewId="0">
      <pane ySplit="1" topLeftCell="A2" activePane="bottomLeft" state="frozen"/>
      <selection pane="bottomLeft" activeCell="F1" sqref="F1:F1048576"/>
    </sheetView>
  </sheetViews>
  <sheetFormatPr defaultRowHeight="15" x14ac:dyDescent="0.25"/>
  <cols>
    <col min="1" max="2" width="14" customWidth="1"/>
    <col min="3" max="3" width="40" customWidth="1"/>
    <col min="4" max="4" width="10" customWidth="1"/>
    <col min="5" max="5" width="14" customWidth="1"/>
    <col min="6" max="6" width="50" hidden="1" customWidth="1"/>
  </cols>
  <sheetData>
    <row r="1" spans="1:6" x14ac:dyDescent="0.25">
      <c r="A1" s="3" t="s">
        <v>0</v>
      </c>
      <c r="B1" s="3" t="s">
        <v>202</v>
      </c>
      <c r="C1" s="3" t="s">
        <v>1</v>
      </c>
      <c r="D1" s="3" t="s">
        <v>203</v>
      </c>
      <c r="E1" s="3" t="s">
        <v>354</v>
      </c>
      <c r="F1" s="3"/>
    </row>
    <row r="2" spans="1:6" x14ac:dyDescent="0.25">
      <c r="A2" s="62" t="s">
        <v>33</v>
      </c>
      <c r="B2" s="63" t="s">
        <v>355</v>
      </c>
      <c r="C2" s="17" t="s">
        <v>356</v>
      </c>
      <c r="D2" s="63" t="s">
        <v>357</v>
      </c>
      <c r="E2" s="64">
        <v>65</v>
      </c>
      <c r="F2" s="17" t="str">
        <f t="shared" ref="F2:F10" si="0">A2&amp;" - "&amp;C2</f>
        <v>MO_TEC - Técnico em refrigeração</v>
      </c>
    </row>
    <row r="3" spans="1:6" x14ac:dyDescent="0.25">
      <c r="A3" s="62" t="s">
        <v>34</v>
      </c>
      <c r="B3" s="63" t="s">
        <v>355</v>
      </c>
      <c r="C3" s="17" t="s">
        <v>358</v>
      </c>
      <c r="D3" s="63" t="s">
        <v>357</v>
      </c>
      <c r="E3" s="64">
        <v>35</v>
      </c>
      <c r="F3" s="17" t="str">
        <f t="shared" si="0"/>
        <v>MO_AJU - Ajudante de instalação</v>
      </c>
    </row>
    <row r="4" spans="1:6" x14ac:dyDescent="0.25">
      <c r="A4" s="62" t="s">
        <v>56</v>
      </c>
      <c r="B4" s="63" t="s">
        <v>263</v>
      </c>
      <c r="C4" s="17" t="s">
        <v>359</v>
      </c>
      <c r="D4" s="63" t="s">
        <v>357</v>
      </c>
      <c r="E4" s="64">
        <v>55</v>
      </c>
      <c r="F4" s="17" t="str">
        <f t="shared" si="0"/>
        <v>MO_ELE - Eletricista</v>
      </c>
    </row>
    <row r="5" spans="1:6" x14ac:dyDescent="0.25">
      <c r="A5" s="62" t="s">
        <v>84</v>
      </c>
      <c r="B5" s="63" t="s">
        <v>360</v>
      </c>
      <c r="C5" s="17" t="s">
        <v>361</v>
      </c>
      <c r="D5" s="63" t="s">
        <v>357</v>
      </c>
      <c r="E5" s="64">
        <v>50</v>
      </c>
      <c r="F5" s="17" t="str">
        <f t="shared" si="0"/>
        <v>MO_PED - Pedreiro</v>
      </c>
    </row>
    <row r="6" spans="1:6" x14ac:dyDescent="0.25">
      <c r="A6" s="62" t="s">
        <v>85</v>
      </c>
      <c r="B6" s="63" t="s">
        <v>360</v>
      </c>
      <c r="C6" s="17" t="s">
        <v>362</v>
      </c>
      <c r="D6" s="63" t="s">
        <v>357</v>
      </c>
      <c r="E6" s="64">
        <v>30</v>
      </c>
      <c r="F6" s="17" t="str">
        <f t="shared" si="0"/>
        <v>MO_SERV - Servente de pedreiro</v>
      </c>
    </row>
    <row r="7" spans="1:6" x14ac:dyDescent="0.25">
      <c r="A7" s="62" t="s">
        <v>93</v>
      </c>
      <c r="B7" s="63" t="s">
        <v>363</v>
      </c>
      <c r="C7" s="17" t="s">
        <v>364</v>
      </c>
      <c r="D7" s="63" t="s">
        <v>357</v>
      </c>
      <c r="E7" s="64">
        <v>25</v>
      </c>
      <c r="F7" s="17" t="str">
        <f t="shared" si="0"/>
        <v>MO_ALT - Adicional trabalho em altura (&gt;3m)</v>
      </c>
    </row>
    <row r="8" spans="1:6" x14ac:dyDescent="0.25">
      <c r="A8" s="62" t="s">
        <v>90</v>
      </c>
      <c r="B8" s="63" t="s">
        <v>363</v>
      </c>
      <c r="C8" s="17" t="s">
        <v>365</v>
      </c>
      <c r="D8" s="63" t="s">
        <v>357</v>
      </c>
      <c r="E8" s="64">
        <v>35</v>
      </c>
      <c r="F8" s="17" t="str">
        <f t="shared" si="0"/>
        <v>MO_FAC - Adicional trabalho fachada</v>
      </c>
    </row>
    <row r="9" spans="1:6" x14ac:dyDescent="0.25">
      <c r="A9" s="62" t="s">
        <v>366</v>
      </c>
      <c r="B9" s="63" t="s">
        <v>367</v>
      </c>
      <c r="C9" s="17" t="s">
        <v>368</v>
      </c>
      <c r="D9" s="63" t="s">
        <v>369</v>
      </c>
      <c r="E9" s="64">
        <v>80</v>
      </c>
      <c r="F9" s="17" t="str">
        <f t="shared" si="0"/>
        <v>MO_DESL_20 - Deslocamento equipe (até 20km)</v>
      </c>
    </row>
    <row r="10" spans="1:6" x14ac:dyDescent="0.25">
      <c r="A10" s="62" t="s">
        <v>370</v>
      </c>
      <c r="B10" s="63" t="s">
        <v>367</v>
      </c>
      <c r="C10" s="17" t="s">
        <v>371</v>
      </c>
      <c r="D10" s="63" t="s">
        <v>369</v>
      </c>
      <c r="E10" s="64">
        <v>150</v>
      </c>
      <c r="F10" s="17" t="str">
        <f t="shared" si="0"/>
        <v>MO_DESL_50 - Deslocamento equipe (20-50km)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G16"/>
  <sheetViews>
    <sheetView workbookViewId="0">
      <pane ySplit="1" topLeftCell="A2" activePane="bottomLeft" state="frozen"/>
      <selection pane="bottomLeft" activeCell="I14" sqref="I14"/>
    </sheetView>
  </sheetViews>
  <sheetFormatPr defaultRowHeight="15" x14ac:dyDescent="0.25"/>
  <cols>
    <col min="1" max="1" width="16" customWidth="1"/>
    <col min="2" max="2" width="12" customWidth="1"/>
    <col min="3" max="3" width="35" customWidth="1"/>
    <col min="4" max="4" width="18" customWidth="1"/>
    <col min="5" max="5" width="14" customWidth="1"/>
    <col min="6" max="6" width="16" customWidth="1"/>
    <col min="7" max="7" width="45" hidden="1" customWidth="1"/>
  </cols>
  <sheetData>
    <row r="1" spans="1:7" ht="30" customHeight="1" x14ac:dyDescent="0.25">
      <c r="A1" s="5" t="s">
        <v>0</v>
      </c>
      <c r="B1" s="5" t="s">
        <v>202</v>
      </c>
      <c r="C1" s="5" t="s">
        <v>1</v>
      </c>
      <c r="D1" s="5" t="s">
        <v>372</v>
      </c>
      <c r="E1" s="5" t="s">
        <v>373</v>
      </c>
      <c r="F1" s="5" t="s">
        <v>374</v>
      </c>
      <c r="G1" s="5"/>
    </row>
    <row r="2" spans="1:7" x14ac:dyDescent="0.25">
      <c r="A2" s="62" t="s">
        <v>36</v>
      </c>
      <c r="B2" s="63" t="s">
        <v>375</v>
      </c>
      <c r="C2" s="17" t="s">
        <v>376</v>
      </c>
      <c r="D2" s="64">
        <v>1500</v>
      </c>
      <c r="E2" s="65">
        <v>2000</v>
      </c>
      <c r="F2" s="64">
        <f t="shared" ref="F2:F16" si="0">IF(E2&gt;0,D2/E2,0)</f>
        <v>0.75</v>
      </c>
      <c r="G2" s="17" t="str">
        <f t="shared" ref="G2:G16" si="1">A2&amp;" - "&amp;C2</f>
        <v>FER_VACUO - Bomba de vácuo</v>
      </c>
    </row>
    <row r="3" spans="1:7" x14ac:dyDescent="0.25">
      <c r="A3" s="62" t="s">
        <v>37</v>
      </c>
      <c r="B3" s="63" t="s">
        <v>377</v>
      </c>
      <c r="C3" s="17" t="s">
        <v>378</v>
      </c>
      <c r="D3" s="64">
        <v>800</v>
      </c>
      <c r="E3" s="65">
        <v>3000</v>
      </c>
      <c r="F3" s="64">
        <f t="shared" si="0"/>
        <v>0.26666666666666666</v>
      </c>
      <c r="G3" s="17" t="str">
        <f t="shared" si="1"/>
        <v>FER_MANIF - Manifold digital</v>
      </c>
    </row>
    <row r="4" spans="1:7" x14ac:dyDescent="0.25">
      <c r="A4" s="62" t="s">
        <v>38</v>
      </c>
      <c r="B4" s="63" t="s">
        <v>379</v>
      </c>
      <c r="C4" s="17" t="s">
        <v>380</v>
      </c>
      <c r="D4" s="64">
        <v>1200</v>
      </c>
      <c r="E4" s="65">
        <v>1500</v>
      </c>
      <c r="F4" s="64">
        <f t="shared" si="0"/>
        <v>0.8</v>
      </c>
      <c r="G4" s="17" t="str">
        <f t="shared" si="1"/>
        <v>FER_SOLDA - Kit solda oxigênio/GLP</v>
      </c>
    </row>
    <row r="5" spans="1:7" x14ac:dyDescent="0.25">
      <c r="A5" s="62" t="s">
        <v>44</v>
      </c>
      <c r="B5" s="63" t="s">
        <v>381</v>
      </c>
      <c r="C5" s="17" t="s">
        <v>382</v>
      </c>
      <c r="D5" s="64">
        <v>1800</v>
      </c>
      <c r="E5" s="65">
        <v>2500</v>
      </c>
      <c r="F5" s="64">
        <f t="shared" si="0"/>
        <v>0.72</v>
      </c>
      <c r="G5" s="17" t="str">
        <f t="shared" si="1"/>
        <v>FER_PERF - Perfuratriz/martelete</v>
      </c>
    </row>
    <row r="6" spans="1:7" x14ac:dyDescent="0.25">
      <c r="A6" s="62" t="s">
        <v>73</v>
      </c>
      <c r="B6" s="63" t="s">
        <v>381</v>
      </c>
      <c r="C6" s="17" t="s">
        <v>383</v>
      </c>
      <c r="D6" s="64">
        <v>180</v>
      </c>
      <c r="E6" s="65">
        <v>150</v>
      </c>
      <c r="F6" s="64">
        <f t="shared" si="0"/>
        <v>1.2</v>
      </c>
      <c r="G6" s="17" t="str">
        <f t="shared" si="1"/>
        <v>FER_SERRA_65 - Serra copo diamantada 65mm</v>
      </c>
    </row>
    <row r="7" spans="1:7" x14ac:dyDescent="0.25">
      <c r="A7" s="62" t="s">
        <v>384</v>
      </c>
      <c r="B7" s="63" t="s">
        <v>381</v>
      </c>
      <c r="C7" s="17" t="s">
        <v>385</v>
      </c>
      <c r="D7" s="64">
        <v>220</v>
      </c>
      <c r="E7" s="65">
        <v>150</v>
      </c>
      <c r="F7" s="64">
        <f t="shared" si="0"/>
        <v>1.4666666666666666</v>
      </c>
      <c r="G7" s="17" t="str">
        <f t="shared" si="1"/>
        <v>FER_SERRA_80 - Serra copo diamantada 80mm</v>
      </c>
    </row>
    <row r="8" spans="1:7" x14ac:dyDescent="0.25">
      <c r="A8" s="62" t="s">
        <v>94</v>
      </c>
      <c r="B8" s="63" t="s">
        <v>386</v>
      </c>
      <c r="C8" s="17" t="s">
        <v>387</v>
      </c>
      <c r="D8" s="64">
        <v>800</v>
      </c>
      <c r="E8" s="65">
        <v>3000</v>
      </c>
      <c r="F8" s="64">
        <f t="shared" si="0"/>
        <v>0.26666666666666666</v>
      </c>
      <c r="G8" s="17" t="str">
        <f t="shared" si="1"/>
        <v>FER_ESCADA - Escada extensível 6m</v>
      </c>
    </row>
    <row r="9" spans="1:7" x14ac:dyDescent="0.25">
      <c r="A9" s="62" t="s">
        <v>388</v>
      </c>
      <c r="B9" s="63" t="s">
        <v>386</v>
      </c>
      <c r="C9" s="17" t="s">
        <v>389</v>
      </c>
      <c r="D9" s="64">
        <v>600</v>
      </c>
      <c r="E9" s="65">
        <v>2000</v>
      </c>
      <c r="F9" s="64">
        <f t="shared" si="0"/>
        <v>0.3</v>
      </c>
      <c r="G9" s="17" t="str">
        <f t="shared" si="1"/>
        <v>FER_ANDAIME - Andaime cavalete (par)</v>
      </c>
    </row>
    <row r="10" spans="1:7" x14ac:dyDescent="0.25">
      <c r="A10" s="62" t="s">
        <v>390</v>
      </c>
      <c r="B10" s="63" t="s">
        <v>391</v>
      </c>
      <c r="C10" s="17" t="s">
        <v>392</v>
      </c>
      <c r="D10" s="64">
        <v>350</v>
      </c>
      <c r="E10" s="65">
        <v>2000</v>
      </c>
      <c r="F10" s="64">
        <f t="shared" si="0"/>
        <v>0.17499999999999999</v>
      </c>
      <c r="G10" s="17" t="str">
        <f t="shared" si="1"/>
        <v>FER_ESTANQ - Kit teste estanqueidade</v>
      </c>
    </row>
    <row r="11" spans="1:7" x14ac:dyDescent="0.25">
      <c r="A11" s="62" t="s">
        <v>57</v>
      </c>
      <c r="B11" s="63" t="s">
        <v>263</v>
      </c>
      <c r="C11" s="17" t="s">
        <v>393</v>
      </c>
      <c r="D11" s="64">
        <v>450</v>
      </c>
      <c r="E11" s="65">
        <v>3000</v>
      </c>
      <c r="F11" s="64">
        <f t="shared" si="0"/>
        <v>0.15</v>
      </c>
      <c r="G11" s="17" t="str">
        <f t="shared" si="1"/>
        <v>FER_MULT - Multímetro/alicate amperímetro</v>
      </c>
    </row>
    <row r="12" spans="1:7" x14ac:dyDescent="0.25">
      <c r="A12" s="62" t="s">
        <v>39</v>
      </c>
      <c r="B12" s="63" t="s">
        <v>394</v>
      </c>
      <c r="C12" s="17" t="s">
        <v>395</v>
      </c>
      <c r="D12" s="64">
        <v>1200</v>
      </c>
      <c r="E12" s="65">
        <v>4000</v>
      </c>
      <c r="F12" s="64">
        <f t="shared" si="0"/>
        <v>0.3</v>
      </c>
      <c r="G12" s="17" t="str">
        <f t="shared" si="1"/>
        <v>FER_MANUAL - Ferramentas manuais (conjunto)</v>
      </c>
    </row>
    <row r="13" spans="1:7" x14ac:dyDescent="0.25">
      <c r="A13" s="62" t="s">
        <v>396</v>
      </c>
      <c r="B13" s="63" t="s">
        <v>381</v>
      </c>
      <c r="C13" s="17" t="s">
        <v>397</v>
      </c>
      <c r="D13" s="64">
        <v>650</v>
      </c>
      <c r="E13" s="65">
        <v>2000</v>
      </c>
      <c r="F13" s="64">
        <f t="shared" si="0"/>
        <v>0.32500000000000001</v>
      </c>
      <c r="G13" s="17" t="str">
        <f t="shared" si="1"/>
        <v>FER_FURAD - Furadeira de impacto</v>
      </c>
    </row>
    <row r="14" spans="1:7" x14ac:dyDescent="0.25">
      <c r="A14" s="62" t="s">
        <v>398</v>
      </c>
      <c r="B14" s="63" t="s">
        <v>399</v>
      </c>
      <c r="C14" s="17" t="s">
        <v>400</v>
      </c>
      <c r="D14" s="64">
        <v>120</v>
      </c>
      <c r="E14" s="65">
        <v>1000</v>
      </c>
      <c r="F14" s="64">
        <f t="shared" si="0"/>
        <v>0.12</v>
      </c>
      <c r="G14" s="17" t="str">
        <f t="shared" si="1"/>
        <v>FER_CORTA - Cortador de tubo cobre</v>
      </c>
    </row>
    <row r="15" spans="1:7" x14ac:dyDescent="0.25">
      <c r="A15" s="62" t="s">
        <v>401</v>
      </c>
      <c r="B15" s="63" t="s">
        <v>402</v>
      </c>
      <c r="C15" s="17" t="s">
        <v>403</v>
      </c>
      <c r="D15" s="64">
        <v>380</v>
      </c>
      <c r="E15" s="65">
        <v>2000</v>
      </c>
      <c r="F15" s="64">
        <f t="shared" si="0"/>
        <v>0.19</v>
      </c>
      <c r="G15" s="17" t="str">
        <f t="shared" si="1"/>
        <v>FER_FLANG - Flangeador/alargador</v>
      </c>
    </row>
    <row r="16" spans="1:7" x14ac:dyDescent="0.25">
      <c r="A16" s="62" t="s">
        <v>111</v>
      </c>
      <c r="B16" s="63" t="s">
        <v>404</v>
      </c>
      <c r="C16" s="17" t="s">
        <v>405</v>
      </c>
      <c r="D16" s="64">
        <v>280</v>
      </c>
      <c r="E16" s="65">
        <v>2500</v>
      </c>
      <c r="F16" s="64">
        <f t="shared" si="0"/>
        <v>0.112</v>
      </c>
      <c r="G16" s="17" t="str">
        <f t="shared" si="1"/>
        <v>FER_BAL - Balança digital refrigeração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G13"/>
  <sheetViews>
    <sheetView workbookViewId="0">
      <pane ySplit="1" topLeftCell="A2" activePane="bottomLeft" state="frozen"/>
      <selection pane="bottomLeft" activeCell="M19" sqref="M19"/>
    </sheetView>
  </sheetViews>
  <sheetFormatPr defaultRowHeight="15" x14ac:dyDescent="0.25"/>
  <cols>
    <col min="1" max="1" width="16" customWidth="1"/>
    <col min="2" max="2" width="14" customWidth="1"/>
    <col min="3" max="3" width="40" customWidth="1"/>
    <col min="4" max="4" width="16" customWidth="1"/>
    <col min="5" max="5" width="10" customWidth="1"/>
    <col min="6" max="6" width="14" customWidth="1"/>
    <col min="7" max="7" width="50" hidden="1" customWidth="1"/>
  </cols>
  <sheetData>
    <row r="1" spans="1:7" ht="30" customHeight="1" x14ac:dyDescent="0.25">
      <c r="A1" s="5" t="s">
        <v>0</v>
      </c>
      <c r="B1" s="5" t="s">
        <v>202</v>
      </c>
      <c r="C1" s="5" t="s">
        <v>1</v>
      </c>
      <c r="D1" s="5" t="s">
        <v>406</v>
      </c>
      <c r="E1" s="5" t="s">
        <v>203</v>
      </c>
      <c r="F1" s="5" t="s">
        <v>204</v>
      </c>
      <c r="G1" s="5"/>
    </row>
    <row r="2" spans="1:7" x14ac:dyDescent="0.25">
      <c r="A2" s="62" t="s">
        <v>407</v>
      </c>
      <c r="B2" s="63" t="s">
        <v>408</v>
      </c>
      <c r="C2" s="17" t="s">
        <v>409</v>
      </c>
      <c r="D2" s="65">
        <v>9000</v>
      </c>
      <c r="E2" s="63" t="s">
        <v>261</v>
      </c>
      <c r="F2" s="64">
        <v>1800</v>
      </c>
      <c r="G2" s="17" t="str">
        <f t="shared" ref="G2:G13" si="0">A2&amp;" - "&amp;C2</f>
        <v>EQP_HW_9K - Split Hi-Wall Inverter 9.000 BTUs</v>
      </c>
    </row>
    <row r="3" spans="1:7" x14ac:dyDescent="0.25">
      <c r="A3" s="62" t="s">
        <v>410</v>
      </c>
      <c r="B3" s="63" t="s">
        <v>408</v>
      </c>
      <c r="C3" s="17" t="s">
        <v>411</v>
      </c>
      <c r="D3" s="65">
        <v>12000</v>
      </c>
      <c r="E3" s="63" t="s">
        <v>261</v>
      </c>
      <c r="F3" s="64">
        <v>2200</v>
      </c>
      <c r="G3" s="17" t="str">
        <f t="shared" si="0"/>
        <v>EQP_HW_12K - Split Hi-Wall Inverter 12.000 BTUs</v>
      </c>
    </row>
    <row r="4" spans="1:7" x14ac:dyDescent="0.25">
      <c r="A4" s="62" t="s">
        <v>412</v>
      </c>
      <c r="B4" s="63" t="s">
        <v>408</v>
      </c>
      <c r="C4" s="17" t="s">
        <v>413</v>
      </c>
      <c r="D4" s="65">
        <v>18000</v>
      </c>
      <c r="E4" s="63" t="s">
        <v>261</v>
      </c>
      <c r="F4" s="64">
        <v>3200</v>
      </c>
      <c r="G4" s="17" t="str">
        <f t="shared" si="0"/>
        <v>EQP_HW_18K - Split Hi-Wall Inverter 18.000 BTUs</v>
      </c>
    </row>
    <row r="5" spans="1:7" x14ac:dyDescent="0.25">
      <c r="A5" s="62" t="s">
        <v>414</v>
      </c>
      <c r="B5" s="63" t="s">
        <v>408</v>
      </c>
      <c r="C5" s="17" t="s">
        <v>415</v>
      </c>
      <c r="D5" s="65">
        <v>22000</v>
      </c>
      <c r="E5" s="63" t="s">
        <v>261</v>
      </c>
      <c r="F5" s="64">
        <v>3800</v>
      </c>
      <c r="G5" s="17" t="str">
        <f t="shared" si="0"/>
        <v>EQP_HW_22K - Split Hi-Wall Inverter 22.000 BTUs</v>
      </c>
    </row>
    <row r="6" spans="1:7" x14ac:dyDescent="0.25">
      <c r="A6" s="62" t="s">
        <v>416</v>
      </c>
      <c r="B6" s="63" t="s">
        <v>408</v>
      </c>
      <c r="C6" s="17" t="s">
        <v>417</v>
      </c>
      <c r="D6" s="65">
        <v>24000</v>
      </c>
      <c r="E6" s="63" t="s">
        <v>261</v>
      </c>
      <c r="F6" s="64">
        <v>4200</v>
      </c>
      <c r="G6" s="17" t="str">
        <f t="shared" si="0"/>
        <v>EQP_HW_24K - Split Hi-Wall Inverter 24.000 BTUs</v>
      </c>
    </row>
    <row r="7" spans="1:7" x14ac:dyDescent="0.25">
      <c r="A7" s="62" t="s">
        <v>418</v>
      </c>
      <c r="B7" s="63" t="s">
        <v>408</v>
      </c>
      <c r="C7" s="17" t="s">
        <v>419</v>
      </c>
      <c r="D7" s="65">
        <v>30000</v>
      </c>
      <c r="E7" s="63" t="s">
        <v>261</v>
      </c>
      <c r="F7" s="64">
        <v>5500</v>
      </c>
      <c r="G7" s="17" t="str">
        <f t="shared" si="0"/>
        <v>EQP_HW_30K - Split Hi-Wall Inverter 30.000 BTUs</v>
      </c>
    </row>
    <row r="8" spans="1:7" x14ac:dyDescent="0.25">
      <c r="A8" s="62" t="s">
        <v>420</v>
      </c>
      <c r="B8" s="63" t="s">
        <v>421</v>
      </c>
      <c r="C8" s="17" t="s">
        <v>422</v>
      </c>
      <c r="D8" s="65">
        <v>36000</v>
      </c>
      <c r="E8" s="63" t="s">
        <v>261</v>
      </c>
      <c r="F8" s="64">
        <v>7200</v>
      </c>
      <c r="G8" s="17" t="str">
        <f t="shared" si="0"/>
        <v>EQP_PT_36K - Split Piso-Teto 36.000 BTUs</v>
      </c>
    </row>
    <row r="9" spans="1:7" x14ac:dyDescent="0.25">
      <c r="A9" s="62" t="s">
        <v>423</v>
      </c>
      <c r="B9" s="63" t="s">
        <v>421</v>
      </c>
      <c r="C9" s="17" t="s">
        <v>424</v>
      </c>
      <c r="D9" s="65">
        <v>48000</v>
      </c>
      <c r="E9" s="63" t="s">
        <v>261</v>
      </c>
      <c r="F9" s="64">
        <v>9500</v>
      </c>
      <c r="G9" s="17" t="str">
        <f t="shared" si="0"/>
        <v>EQP_PT_48K - Split Piso-Teto 48.000 BTUs</v>
      </c>
    </row>
    <row r="10" spans="1:7" x14ac:dyDescent="0.25">
      <c r="A10" s="62" t="s">
        <v>425</v>
      </c>
      <c r="B10" s="63" t="s">
        <v>421</v>
      </c>
      <c r="C10" s="17" t="s">
        <v>426</v>
      </c>
      <c r="D10" s="65">
        <v>60000</v>
      </c>
      <c r="E10" s="63" t="s">
        <v>261</v>
      </c>
      <c r="F10" s="64">
        <v>12000</v>
      </c>
      <c r="G10" s="17" t="str">
        <f t="shared" si="0"/>
        <v>EQP_PT_60K - Split Piso-Teto 60.000 BTUs</v>
      </c>
    </row>
    <row r="11" spans="1:7" x14ac:dyDescent="0.25">
      <c r="A11" s="62" t="s">
        <v>98</v>
      </c>
      <c r="B11" s="63" t="s">
        <v>427</v>
      </c>
      <c r="C11" s="17" t="s">
        <v>428</v>
      </c>
      <c r="D11" s="63" t="s">
        <v>429</v>
      </c>
      <c r="E11" s="63" t="s">
        <v>261</v>
      </c>
      <c r="F11" s="64">
        <v>320</v>
      </c>
      <c r="G11" s="17" t="str">
        <f t="shared" si="0"/>
        <v>EQP_BOMB_P - Bomba dreno mini (até 12.000 BTUs)</v>
      </c>
    </row>
    <row r="12" spans="1:7" x14ac:dyDescent="0.25">
      <c r="A12" s="62" t="s">
        <v>430</v>
      </c>
      <c r="B12" s="63" t="s">
        <v>427</v>
      </c>
      <c r="C12" s="17" t="s">
        <v>431</v>
      </c>
      <c r="D12" s="63" t="s">
        <v>429</v>
      </c>
      <c r="E12" s="63" t="s">
        <v>261</v>
      </c>
      <c r="F12" s="64">
        <v>480</v>
      </c>
      <c r="G12" s="17" t="str">
        <f t="shared" si="0"/>
        <v>EQP_BOMB_M - Bomba dreno média (até 36.000 BTUs)</v>
      </c>
    </row>
    <row r="13" spans="1:7" x14ac:dyDescent="0.25">
      <c r="A13" s="62" t="s">
        <v>432</v>
      </c>
      <c r="B13" s="63" t="s">
        <v>427</v>
      </c>
      <c r="C13" s="17" t="s">
        <v>433</v>
      </c>
      <c r="D13" s="63" t="s">
        <v>429</v>
      </c>
      <c r="E13" s="63" t="s">
        <v>261</v>
      </c>
      <c r="F13" s="64">
        <v>650</v>
      </c>
      <c r="G13" s="17" t="str">
        <f t="shared" si="0"/>
        <v>EQP_BOMB_G - Bomba dreno grande (até 60.000 BTUs)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Q500"/>
  <sheetViews>
    <sheetView topLeftCell="F1" workbookViewId="0">
      <pane ySplit="1" topLeftCell="A2" activePane="bottomLeft" state="frozen"/>
      <selection pane="bottomLeft" activeCell="I2" sqref="I2"/>
    </sheetView>
  </sheetViews>
  <sheetFormatPr defaultRowHeight="15" x14ac:dyDescent="0.25"/>
  <cols>
    <col min="1" max="1" width="18" customWidth="1"/>
    <col min="2" max="2" width="55" customWidth="1"/>
    <col min="3" max="3" width="8" customWidth="1"/>
    <col min="4" max="4" width="18" customWidth="1"/>
    <col min="5" max="5" width="40" customWidth="1"/>
    <col min="6" max="6" width="11.28515625" bestFit="1" customWidth="1"/>
    <col min="7" max="8" width="12" customWidth="1"/>
    <col min="9" max="9" width="14" customWidth="1"/>
    <col min="10" max="11" width="12" customWidth="1"/>
    <col min="12" max="12" width="65" customWidth="1"/>
    <col min="13" max="13" width="45" customWidth="1"/>
    <col min="14" max="14" width="35" customWidth="1"/>
    <col min="15" max="15" width="67" bestFit="1" customWidth="1"/>
    <col min="16" max="16" width="35.5703125" bestFit="1" customWidth="1"/>
    <col min="17" max="17" width="20.140625" bestFit="1" customWidth="1"/>
  </cols>
  <sheetData>
    <row r="1" spans="1:17" x14ac:dyDescent="0.25">
      <c r="A1" s="5"/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452</v>
      </c>
      <c r="L1" s="5" t="s">
        <v>10</v>
      </c>
      <c r="M1" s="5" t="s">
        <v>451</v>
      </c>
      <c r="N1" s="5" t="s">
        <v>453</v>
      </c>
      <c r="O1" s="5"/>
      <c r="P1" s="5" t="s">
        <v>11</v>
      </c>
      <c r="Q1" s="5" t="s">
        <v>12</v>
      </c>
    </row>
    <row r="2" spans="1:17" x14ac:dyDescent="0.25">
      <c r="A2" s="66" t="s">
        <v>13</v>
      </c>
      <c r="B2" s="67" t="s">
        <v>14</v>
      </c>
      <c r="C2" s="68"/>
      <c r="D2" s="68"/>
      <c r="E2" s="68" t="str" cm="1">
        <f t="array" ref="E2:E500">_xlfn.LET(
  _xlpm.tipos,C2:C500,
  _xlpm.codigos,D2:D500,
  _xlfn.MAP(_xlpm.tipos,_xlpm.codigos,_xlfn.LAMBDA(_xlpm.t,_xlpm.c,
    IF(OR(_xlpm.t="",_xlpm.c=""),"",
      _xlfn.LET(
        _xlpm.cod,IFERROR(LEFT(_xlpm.c,FIND(" - ",_xlpm.c)-1),_xlpm.c),
        _xlpm.idx,MATCH(_xlpm.t,{"MAT";"MO";"FER";"EQP"},0),
        IFERROR(CHOOSE(_xlpm.idx,
          _xlfn.XLOOKUP(_xlpm.cod,MATERIAIS!$A:$A,MATERIAIS!$C:$C),
          _xlfn.XLOOKUP(_xlpm.cod,MAO_DE_OBRA!$A:$A,MAO_DE_OBRA!$C:$C),
          _xlfn.XLOOKUP(_xlpm.cod,FERRAMENTAS!$A:$A,FERRAMENTAS!$C:$C),
          _xlfn.XLOOKUP(_xlpm.cod,EQUIPAMENTOS!$A:$A,EQUIPAMENTOS!$C:$C)),"")
      )
    )
  ))
)</f>
        <v/>
      </c>
      <c r="F2" s="68" t="str" cm="1">
        <f t="array" ref="F2:F500">_xlfn.LET(
  _xlpm.tipos,C2:C500,
  _xlpm.codigos,D2:D500,
  _xlfn.MAP(_xlpm.tipos,_xlpm.codigos,_xlfn.LAMBDA(_xlpm.t,_xlpm.c,
    IF(OR(_xlpm.t="",_xlpm.c=""),"",
      _xlfn.LET(
        _xlpm.cod,IFERROR(LEFT(_xlpm.c,FIND(" - ",_xlpm.c)-1),_xlpm.c),
        _xlpm.idx,MATCH(_xlpm.t,{"MAT";"MO";"FER";"EQP"},0),
        IFERROR(CHOOSE(_xlpm.idx,
          _xlfn.XLOOKUP(_xlpm.cod,MATERIAIS!$A:$A,MATERIAIS!$D:$D),
          _xlfn.XLOOKUP(_xlpm.cod,MAO_DE_OBRA!$A:$A,MAO_DE_OBRA!$D:$D),
          "H",
          _xlfn.XLOOKUP(_xlpm.cod,EQUIPAMENTOS!$A:$A,EQUIPAMENTOS!$E:$E)),"")
      )
    )
  ))
)</f>
        <v/>
      </c>
      <c r="G2" s="68"/>
      <c r="H2" s="68"/>
      <c r="I2" s="68" t="str" cm="1">
        <f t="array" ref="I2:I500">_xlfn.LET(
  _xlpm.tipos,C2:C500,
  _xlpm.codigos,D2:D500,
  _xlfn.MAP(_xlpm.tipos,_xlpm.codigos,_xlfn.LAMBDA(_xlpm.t,_xlpm.c,
    IF(OR(_xlpm.t="",_xlpm.c=""),"",
      _xlfn.LET(
        _xlpm.cod,IFERROR(LEFT(_xlpm.c,FIND(" - ",_xlpm.c)-1),_xlpm.c),
        _xlpm.idx,MATCH(_xlpm.t,{"MAT";"MO";"FER";"EQP"},0),
        IFERROR(CHOOSE(_xlpm.idx,
          _xlfn.XLOOKUP(_xlpm.cod,MATERIAIS!$A:$A,MATERIAIS!$E:$E),
          _xlfn.XLOOKUP(_xlpm.cod,MAO_DE_OBRA!$A:$A,MAO_DE_OBRA!$E:$E),
          _xlfn.XLOOKUP(_xlpm.cod,FERRAMENTAS!$A:$A,FERRAMENTAS!$F:$F),
          _xlfn.XLOOKUP(_xlpm.cod,EQUIPAMENTOS!$A:$A,EQUIPAMENTOS!$F:$F)),"")
      )
    )
  ))
)</f>
        <v/>
      </c>
      <c r="J2" s="69" cm="1">
        <f t="array" ref="J2:J500">_xlfn.LET(_xlpm.n,499,_xlpm.linhas,_xlfn.SEQUENCE(_xlpm.n,,2),_xlpm.colA,A2:A500,_xlpm.valores,_xlfn.MAP(_xlpm.linhas,_xlfn.LAMBDA(_xlpm.r,_xlfn.LET(_xlpm.q,INDEX(G:G,_xlpm.r),_xlpm.p,INDEX(I:I,_xlpm.r),IF(OR(_xlpm.q="",_xlpm.p=""),0,_xlpm.q*_xlpm.p)))),_xlpm.ehHeader,_xlpm.colA&lt;&gt;"",_xlfn.MAP(_xlpm.linhas,_xlpm.valores,_xlpm.ehHeader,_xlfn.LAMBDA(_xlpm.r,_xlpm.val,_xlpm.hdr,IF(_xlpm.hdr,_xlfn.LET(_xlpm.proxHdr,MIN(_xlfn._xlws.FILTER(_xlpm.linhas,(_xlpm.ehHeader)*(_xlpm.linhas&gt;_xlpm.r),_xlpm.n+10)),SUM(_xlpm.valores*(_xlpm.linhas&gt;_xlpm.r)*(_xlpm.linhas&lt;_xlpm.proxHdr))),IF(_xlpm.val=0,"",_xlpm.val)))))</f>
        <v>314.00833333333333</v>
      </c>
      <c r="K2" s="69" cm="1">
        <f t="array" ref="K2:K500">_xlfn.LET(_xlpm.n,499,_xlpm.linhas,_xlfn.SEQUENCE(_xlpm.n,,2),_xlpm.colA,A2:A500,_xlpm.valores,_xlfn.MAP(_xlpm.linhas,_xlfn.LAMBDA(_xlpm.r,_xlfn.LET(_xlpm.q,INDEX(H:H,_xlpm.r),_xlpm.p,INDEX(I:I,_xlpm.r),IF(OR(_xlpm.q="",_xlpm.p=""),0,_xlpm.q*_xlpm.p)))),_xlpm.ehHeader,_xlpm.colA&lt;&gt;"",_xlfn.MAP(_xlpm.linhas,_xlpm.valores,_xlpm.ehHeader,_xlfn.LAMBDA(_xlpm.r,_xlpm.val,_xlpm.hdr,IF(_xlpm.hdr,_xlfn.LET(_xlpm.proxHdr,MIN(_xlfn._xlws.FILTER(_xlpm.linhas,(_xlpm.ehHeader)*(_xlpm.linhas&gt;_xlpm.r),_xlpm.n+10)),SUM(_xlpm.valores*(_xlpm.linhas&gt;_xlpm.r)*(_xlpm.linhas&lt;_xlpm.proxHdr))),IF(_xlpm.val=0,"",_xlpm.val)))))</f>
        <v>88.850000000000009</v>
      </c>
      <c r="L2" s="68" t="str" cm="1">
        <f t="array" ref="L2:L500">_xlfn.LET(_xlpm.tipos,C2:C500,_xlpm.tab_tipo,NEGOCIO!$A$42:$A$45,_xlpm.tab_mult,NEGOCIO!$B$42:$B$45,_xlfn.MAP(_xlpm.tipos,_xlfn.LAMBDA(_xlpm.t,IF(_xlpm.t="","",_xlfn.XLOOKUP(_xlpm.t,_xlpm.tab_tipo,_xlpm.tab_mult,1)))))</f>
        <v/>
      </c>
      <c r="M2" s="69" cm="1">
        <f t="array" ref="M2:M500">_xlfn.LET(_xlpm.n,499,_xlpm.linhas,_xlfn.SEQUENCE(_xlpm.n,,2),_xlpm.colA,A2:A500,_xlpm.colC,C2:C500,_xlpm.tab_tipo,NEGOCIO!$A$42:$A$45,_xlpm.tab_mult,NEGOCIO!$B$42:$B$45,_xlpm.valores,_xlfn.MAP(_xlpm.linhas,_xlpm.colC,_xlfn.LAMBDA(_xlpm.r,_xlpm.t,_xlfn.LET(_xlpm.q,INDEX(G:G,_xlpm.r),_xlpm.p,INDEX(I:I,_xlpm.r),_xlpm.m,IF(_xlpm.t="","",_xlfn.XLOOKUP(_xlpm.t,_xlpm.tab_tipo,_xlpm.tab_mult,1)),IF(OR(_xlpm.q="",_xlpm.p="",_xlpm.m=""),0,_xlpm.q*_xlpm.p*_xlpm.m)))),_xlpm.ehHeader,_xlpm.colA&lt;&gt;"",_xlfn.MAP(_xlpm.linhas,_xlpm.valores,_xlpm.ehHeader,_xlfn.LAMBDA(_xlpm.r,_xlpm.val,_xlpm.hdr,IF(_xlpm.hdr,_xlfn.LET(_xlpm.proxHdr,MIN(_xlfn._xlws.FILTER(_xlpm.linhas,(_xlpm.ehHeader)*(_xlpm.linhas&gt;_xlpm.r),_xlpm.n+10)),SUM(_xlpm.valores*(_xlpm.linhas&gt;_xlpm.r)*(_xlpm.linhas&lt;_xlpm.proxHdr))),IF(_xlpm.val=0,"",_xlpm.val)))))</f>
        <v>453.82833333333338</v>
      </c>
      <c r="N2" s="69" cm="1">
        <f t="array" ref="N2:N500">_xlfn.LET(_xlpm.n,499,_xlpm.linhas,_xlfn.SEQUENCE(_xlpm.n,,2),_xlpm.colA,A2:A500,_xlpm.colC,C2:C500,_xlpm.tab_tipo,NEGOCIO!$A$42:$A$45,_xlpm.tab_mult,NEGOCIO!$B$42:$B$45,_xlpm.valores,_xlfn.MAP(_xlpm.linhas,_xlpm.colC,_xlfn.LAMBDA(_xlpm.r,_xlpm.t,_xlfn.LET(_xlpm.q,INDEX(H:H,_xlpm.r),_xlpm.p,INDEX(I:I,_xlpm.r),_xlpm.m,IF(_xlpm.t="","",_xlfn.XLOOKUP(_xlpm.t,_xlpm.tab_tipo,_xlpm.tab_mult,1)),IF(OR(_xlpm.q="",_xlpm.p="",_xlpm.m=""),0,_xlpm.q*_xlpm.p*_xlpm.m)))),_xlpm.ehHeader,_xlpm.colA&lt;&gt;"",_xlfn.MAP(_xlpm.linhas,_xlpm.valores,_xlpm.ehHeader,_xlfn.LAMBDA(_xlpm.r,_xlpm.val,_xlpm.hdr,IF(_xlpm.hdr,_xlfn.LET(_xlpm.proxHdr,MIN(_xlfn._xlws.FILTER(_xlpm.linhas,(_xlpm.ehHeader)*(_xlpm.linhas&gt;_xlpm.r),_xlpm.n+10)),SUM(_xlpm.valores*(_xlpm.linhas&gt;_xlpm.r)*(_xlpm.linhas&lt;_xlpm.proxHdr))),IF(_xlpm.val=0,"",_xlpm.val)))))</f>
        <v>122.19749999999999</v>
      </c>
      <c r="O2" s="68" t="str">
        <f>A2&amp;" - "&amp;B2</f>
        <v>COMP_INST_9K - Instalação Split 9.000 BTUs</v>
      </c>
      <c r="P2" s="70" t="s">
        <v>15</v>
      </c>
      <c r="Q2" s="70" t="s">
        <v>16</v>
      </c>
    </row>
    <row r="3" spans="1:17" x14ac:dyDescent="0.25">
      <c r="A3" s="17"/>
      <c r="B3" s="17"/>
      <c r="C3" s="71" t="s">
        <v>17</v>
      </c>
      <c r="D3" s="72" t="s">
        <v>18</v>
      </c>
      <c r="E3" s="17" t="str">
        <v>Tubo de cobre 1/4" flexível</v>
      </c>
      <c r="F3" s="63" t="str">
        <v>M</v>
      </c>
      <c r="G3" s="73"/>
      <c r="H3" s="73">
        <v>1.1000000000000001</v>
      </c>
      <c r="I3" s="64">
        <v>18</v>
      </c>
      <c r="J3" s="64" t="str">
        <v/>
      </c>
      <c r="K3" s="64">
        <v>19.8</v>
      </c>
      <c r="L3" s="74">
        <v>1.35</v>
      </c>
      <c r="M3" s="64" t="str">
        <v/>
      </c>
      <c r="N3" s="64">
        <v>26.730000000000004</v>
      </c>
      <c r="O3" s="17"/>
      <c r="P3" s="17"/>
      <c r="Q3" s="17"/>
    </row>
    <row r="4" spans="1:17" x14ac:dyDescent="0.25">
      <c r="A4" s="17"/>
      <c r="B4" s="17"/>
      <c r="C4" s="71" t="s">
        <v>17</v>
      </c>
      <c r="D4" s="72" t="s">
        <v>19</v>
      </c>
      <c r="E4" s="17" t="str">
        <v>Tubo de cobre 3/8" flexível</v>
      </c>
      <c r="F4" s="63" t="str">
        <v>M</v>
      </c>
      <c r="G4" s="73"/>
      <c r="H4" s="73">
        <v>1.1000000000000001</v>
      </c>
      <c r="I4" s="64">
        <v>28</v>
      </c>
      <c r="J4" s="64" t="str">
        <v/>
      </c>
      <c r="K4" s="64">
        <v>30.800000000000004</v>
      </c>
      <c r="L4" s="74">
        <v>1.35</v>
      </c>
      <c r="M4" s="64" t="str">
        <v/>
      </c>
      <c r="N4" s="64">
        <v>41.580000000000005</v>
      </c>
      <c r="O4" s="17"/>
      <c r="P4" s="17"/>
      <c r="Q4" s="17"/>
    </row>
    <row r="5" spans="1:17" x14ac:dyDescent="0.25">
      <c r="A5" s="17"/>
      <c r="B5" s="17"/>
      <c r="C5" s="71" t="s">
        <v>17</v>
      </c>
      <c r="D5" s="72" t="s">
        <v>20</v>
      </c>
      <c r="E5" s="17" t="str">
        <v>Isolamento elastomérico p/ 1/4" esp. 9mm</v>
      </c>
      <c r="F5" s="63" t="str">
        <v>M</v>
      </c>
      <c r="G5" s="73"/>
      <c r="H5" s="73">
        <v>1.1000000000000001</v>
      </c>
      <c r="I5" s="64">
        <v>8</v>
      </c>
      <c r="J5" s="64" t="str">
        <v/>
      </c>
      <c r="K5" s="64">
        <v>8.8000000000000007</v>
      </c>
      <c r="L5" s="74">
        <v>1.35</v>
      </c>
      <c r="M5" s="64" t="str">
        <v/>
      </c>
      <c r="N5" s="64">
        <v>11.880000000000003</v>
      </c>
      <c r="O5" s="17"/>
      <c r="P5" s="17"/>
      <c r="Q5" s="17"/>
    </row>
    <row r="6" spans="1:17" x14ac:dyDescent="0.25">
      <c r="A6" s="17"/>
      <c r="B6" s="17"/>
      <c r="C6" s="71" t="s">
        <v>17</v>
      </c>
      <c r="D6" s="72" t="s">
        <v>21</v>
      </c>
      <c r="E6" s="17" t="str">
        <v>Isolamento elastomérico p/ 3/8" esp. 9mm</v>
      </c>
      <c r="F6" s="63" t="str">
        <v>M</v>
      </c>
      <c r="G6" s="73"/>
      <c r="H6" s="73">
        <v>1.1000000000000001</v>
      </c>
      <c r="I6" s="64">
        <v>10</v>
      </c>
      <c r="J6" s="64" t="str">
        <v/>
      </c>
      <c r="K6" s="64">
        <v>11</v>
      </c>
      <c r="L6" s="74">
        <v>1.35</v>
      </c>
      <c r="M6" s="64" t="str">
        <v/>
      </c>
      <c r="N6" s="64">
        <v>14.850000000000001</v>
      </c>
      <c r="O6" s="17"/>
      <c r="P6" s="17"/>
      <c r="Q6" s="17"/>
    </row>
    <row r="7" spans="1:17" x14ac:dyDescent="0.25">
      <c r="A7" s="17"/>
      <c r="B7" s="17"/>
      <c r="C7" s="71" t="s">
        <v>17</v>
      </c>
      <c r="D7" s="72" t="s">
        <v>22</v>
      </c>
      <c r="E7" s="17" t="str">
        <v>Fita isolante térmica (rolo 30m)</v>
      </c>
      <c r="F7" s="63" t="str">
        <v>UN</v>
      </c>
      <c r="G7" s="73">
        <v>0.15</v>
      </c>
      <c r="H7" s="73"/>
      <c r="I7" s="64">
        <v>25</v>
      </c>
      <c r="J7" s="64">
        <v>3.75</v>
      </c>
      <c r="K7" s="64" t="str">
        <v/>
      </c>
      <c r="L7" s="74">
        <v>1.35</v>
      </c>
      <c r="M7" s="64">
        <v>5.0625</v>
      </c>
      <c r="N7" s="64" t="str">
        <v/>
      </c>
      <c r="O7" s="17"/>
      <c r="P7" s="17"/>
      <c r="Q7" s="17"/>
    </row>
    <row r="8" spans="1:17" x14ac:dyDescent="0.25">
      <c r="A8" s="17"/>
      <c r="B8" s="17"/>
      <c r="C8" s="71" t="s">
        <v>17</v>
      </c>
      <c r="D8" s="72" t="s">
        <v>23</v>
      </c>
      <c r="E8" s="17" t="str">
        <v>Cabo de comunicação 2x0,75mm²</v>
      </c>
      <c r="F8" s="63" t="str">
        <v>M</v>
      </c>
      <c r="G8" s="73"/>
      <c r="H8" s="73">
        <v>1.1499999999999999</v>
      </c>
      <c r="I8" s="64">
        <v>3</v>
      </c>
      <c r="J8" s="64" t="str">
        <v/>
      </c>
      <c r="K8" s="64">
        <v>3.4499999999999997</v>
      </c>
      <c r="L8" s="74">
        <v>1.35</v>
      </c>
      <c r="M8" s="75" t="str">
        <v/>
      </c>
      <c r="N8" s="64">
        <v>4.6574999999999998</v>
      </c>
      <c r="O8" s="17"/>
      <c r="P8" s="17"/>
      <c r="Q8" s="17"/>
    </row>
    <row r="9" spans="1:17" x14ac:dyDescent="0.25">
      <c r="A9" s="17"/>
      <c r="B9" s="17"/>
      <c r="C9" s="71" t="s">
        <v>17</v>
      </c>
      <c r="D9" s="72" t="s">
        <v>24</v>
      </c>
      <c r="E9" s="17" t="str">
        <v>Suporte evaporadora universal</v>
      </c>
      <c r="F9" s="63" t="str">
        <v>UN</v>
      </c>
      <c r="G9" s="73">
        <v>1</v>
      </c>
      <c r="H9" s="73"/>
      <c r="I9" s="64">
        <v>45</v>
      </c>
      <c r="J9" s="64">
        <v>45</v>
      </c>
      <c r="K9" s="64" t="str">
        <v/>
      </c>
      <c r="L9" s="74">
        <v>1.35</v>
      </c>
      <c r="M9" s="64">
        <v>60.750000000000007</v>
      </c>
      <c r="N9" s="64" t="str">
        <v/>
      </c>
      <c r="O9" s="17"/>
      <c r="P9" s="17"/>
      <c r="Q9" s="17"/>
    </row>
    <row r="10" spans="1:17" x14ac:dyDescent="0.25">
      <c r="A10" s="17"/>
      <c r="B10" s="17"/>
      <c r="C10" s="71" t="s">
        <v>17</v>
      </c>
      <c r="D10" s="72" t="s">
        <v>25</v>
      </c>
      <c r="E10" s="17" t="str">
        <v>Bucha nylon S10</v>
      </c>
      <c r="F10" s="63" t="str">
        <v>UN</v>
      </c>
      <c r="G10" s="73">
        <v>6</v>
      </c>
      <c r="H10" s="73"/>
      <c r="I10" s="64">
        <v>0.8</v>
      </c>
      <c r="J10" s="64">
        <v>4.8000000000000007</v>
      </c>
      <c r="K10" s="64" t="str">
        <v/>
      </c>
      <c r="L10" s="74">
        <v>1.35</v>
      </c>
      <c r="M10" s="64">
        <v>6.4800000000000013</v>
      </c>
      <c r="N10" s="64" t="str">
        <v/>
      </c>
      <c r="O10" s="17"/>
      <c r="P10" s="17"/>
      <c r="Q10" s="17"/>
    </row>
    <row r="11" spans="1:17" x14ac:dyDescent="0.25">
      <c r="A11" s="17"/>
      <c r="B11" s="17"/>
      <c r="C11" s="71" t="s">
        <v>17</v>
      </c>
      <c r="D11" s="72" t="s">
        <v>26</v>
      </c>
      <c r="E11" s="17" t="str">
        <v>Parafuso chipboard 6x60mm</v>
      </c>
      <c r="F11" s="63" t="str">
        <v>UN</v>
      </c>
      <c r="G11" s="73">
        <v>6</v>
      </c>
      <c r="H11" s="73"/>
      <c r="I11" s="64">
        <v>0.5</v>
      </c>
      <c r="J11" s="64">
        <v>3</v>
      </c>
      <c r="K11" s="64" t="str">
        <v/>
      </c>
      <c r="L11" s="74">
        <v>1.35</v>
      </c>
      <c r="M11" s="64">
        <v>4.0500000000000007</v>
      </c>
      <c r="N11" s="64" t="str">
        <v/>
      </c>
      <c r="O11" s="17"/>
      <c r="P11" s="17"/>
      <c r="Q11" s="17"/>
    </row>
    <row r="12" spans="1:17" x14ac:dyDescent="0.25">
      <c r="A12" s="17"/>
      <c r="B12" s="17"/>
      <c r="C12" s="71" t="s">
        <v>17</v>
      </c>
      <c r="D12" s="72" t="s">
        <v>27</v>
      </c>
      <c r="E12" s="17" t="str">
        <v>Espuma expansiva 500ml</v>
      </c>
      <c r="F12" s="63" t="str">
        <v>UN</v>
      </c>
      <c r="G12" s="73">
        <v>0.3</v>
      </c>
      <c r="H12" s="73"/>
      <c r="I12" s="64">
        <v>28</v>
      </c>
      <c r="J12" s="64">
        <v>8.4</v>
      </c>
      <c r="K12" s="64" t="str">
        <v/>
      </c>
      <c r="L12" s="74">
        <v>1.35</v>
      </c>
      <c r="M12" s="64">
        <v>11.340000000000002</v>
      </c>
      <c r="N12" s="64" t="str">
        <v/>
      </c>
      <c r="O12" s="17"/>
      <c r="P12" s="17"/>
      <c r="Q12" s="17"/>
    </row>
    <row r="13" spans="1:17" x14ac:dyDescent="0.25">
      <c r="A13" s="17"/>
      <c r="B13" s="17"/>
      <c r="C13" s="71" t="s">
        <v>17</v>
      </c>
      <c r="D13" s="72" t="s">
        <v>28</v>
      </c>
      <c r="E13" s="17" t="str">
        <v>Fita isolante preta 20m</v>
      </c>
      <c r="F13" s="63" t="str">
        <v>UN</v>
      </c>
      <c r="G13" s="73">
        <v>0.25</v>
      </c>
      <c r="H13" s="73"/>
      <c r="I13" s="64">
        <v>8</v>
      </c>
      <c r="J13" s="64">
        <v>2</v>
      </c>
      <c r="K13" s="64" t="str">
        <v/>
      </c>
      <c r="L13" s="74">
        <v>1.35</v>
      </c>
      <c r="M13" s="64">
        <v>2.7</v>
      </c>
      <c r="N13" s="64" t="str">
        <v/>
      </c>
      <c r="O13" s="17"/>
      <c r="P13" s="17"/>
      <c r="Q13" s="17"/>
    </row>
    <row r="14" spans="1:17" x14ac:dyDescent="0.25">
      <c r="A14" s="17"/>
      <c r="B14" s="17"/>
      <c r="C14" s="71" t="s">
        <v>17</v>
      </c>
      <c r="D14" s="72" t="s">
        <v>29</v>
      </c>
      <c r="E14" s="17" t="str">
        <v>Fita autofusão 10m</v>
      </c>
      <c r="F14" s="63" t="str">
        <v>UN</v>
      </c>
      <c r="G14" s="73">
        <v>0.2</v>
      </c>
      <c r="H14" s="73"/>
      <c r="I14" s="64">
        <v>25</v>
      </c>
      <c r="J14" s="64">
        <v>5</v>
      </c>
      <c r="K14" s="64" t="str">
        <v/>
      </c>
      <c r="L14" s="74">
        <v>1.35</v>
      </c>
      <c r="M14" s="64">
        <v>6.75</v>
      </c>
      <c r="N14" s="64" t="str">
        <v/>
      </c>
      <c r="O14" s="17"/>
      <c r="P14" s="17"/>
      <c r="Q14" s="17"/>
    </row>
    <row r="15" spans="1:17" x14ac:dyDescent="0.25">
      <c r="A15" s="17"/>
      <c r="B15" s="17"/>
      <c r="C15" s="71" t="s">
        <v>17</v>
      </c>
      <c r="D15" s="72" t="s">
        <v>30</v>
      </c>
      <c r="E15" s="17" t="str">
        <v>Vareta solda prata 5%</v>
      </c>
      <c r="F15" s="63" t="str">
        <v>UN</v>
      </c>
      <c r="G15" s="73">
        <v>2</v>
      </c>
      <c r="H15" s="73"/>
      <c r="I15" s="64">
        <v>18</v>
      </c>
      <c r="J15" s="64">
        <v>36</v>
      </c>
      <c r="K15" s="64" t="str">
        <v/>
      </c>
      <c r="L15" s="74">
        <v>1.35</v>
      </c>
      <c r="M15" s="64">
        <v>48.6</v>
      </c>
      <c r="N15" s="64" t="str">
        <v/>
      </c>
      <c r="O15" s="17"/>
      <c r="P15" s="17"/>
      <c r="Q15" s="17"/>
    </row>
    <row r="16" spans="1:17" x14ac:dyDescent="0.25">
      <c r="A16" s="17"/>
      <c r="B16" s="17"/>
      <c r="C16" s="71" t="s">
        <v>17</v>
      </c>
      <c r="D16" s="72" t="s">
        <v>31</v>
      </c>
      <c r="E16" s="17" t="str">
        <v>Fluxo para solda 100g</v>
      </c>
      <c r="F16" s="63" t="str">
        <v>UN</v>
      </c>
      <c r="G16" s="73">
        <v>0.2</v>
      </c>
      <c r="H16" s="73"/>
      <c r="I16" s="64">
        <v>22</v>
      </c>
      <c r="J16" s="64">
        <v>4.4000000000000004</v>
      </c>
      <c r="K16" s="64" t="str">
        <v/>
      </c>
      <c r="L16" s="74">
        <v>1.35</v>
      </c>
      <c r="M16" s="64">
        <v>5.9400000000000013</v>
      </c>
      <c r="N16" s="64" t="str">
        <v/>
      </c>
      <c r="O16" s="17"/>
      <c r="P16" s="17"/>
      <c r="Q16" s="17"/>
    </row>
    <row r="17" spans="1:17" x14ac:dyDescent="0.25">
      <c r="A17" s="76"/>
      <c r="B17" s="76"/>
      <c r="C17" s="77" t="s">
        <v>32</v>
      </c>
      <c r="D17" s="78" t="s">
        <v>33</v>
      </c>
      <c r="E17" s="76" t="str">
        <v>Técnico em refrigeração</v>
      </c>
      <c r="F17" s="77" t="str">
        <v>H</v>
      </c>
      <c r="G17" s="79">
        <v>2</v>
      </c>
      <c r="H17" s="79">
        <v>0.15</v>
      </c>
      <c r="I17" s="80">
        <v>65</v>
      </c>
      <c r="J17" s="80">
        <v>130</v>
      </c>
      <c r="K17" s="80">
        <v>9.75</v>
      </c>
      <c r="L17" s="81">
        <v>1.5</v>
      </c>
      <c r="M17" s="80">
        <v>195</v>
      </c>
      <c r="N17" s="80">
        <v>14.625</v>
      </c>
      <c r="O17" s="76"/>
      <c r="P17" s="76"/>
      <c r="Q17" s="76"/>
    </row>
    <row r="18" spans="1:17" x14ac:dyDescent="0.25">
      <c r="A18" s="76"/>
      <c r="B18" s="76"/>
      <c r="C18" s="77" t="s">
        <v>32</v>
      </c>
      <c r="D18" s="78" t="s">
        <v>34</v>
      </c>
      <c r="E18" s="76" t="str">
        <v>Ajudante de instalação</v>
      </c>
      <c r="F18" s="77" t="str">
        <v>H</v>
      </c>
      <c r="G18" s="79">
        <v>2</v>
      </c>
      <c r="H18" s="79">
        <v>0.15</v>
      </c>
      <c r="I18" s="80">
        <v>35</v>
      </c>
      <c r="J18" s="80">
        <v>70</v>
      </c>
      <c r="K18" s="80">
        <v>5.25</v>
      </c>
      <c r="L18" s="81">
        <v>1.5</v>
      </c>
      <c r="M18" s="80">
        <v>105</v>
      </c>
      <c r="N18" s="80">
        <v>7.875</v>
      </c>
      <c r="O18" s="76"/>
      <c r="P18" s="76"/>
      <c r="Q18" s="76"/>
    </row>
    <row r="19" spans="1:17" x14ac:dyDescent="0.25">
      <c r="A19" s="82"/>
      <c r="B19" s="82"/>
      <c r="C19" s="83" t="s">
        <v>35</v>
      </c>
      <c r="D19" s="84" t="s">
        <v>36</v>
      </c>
      <c r="E19" s="82" t="str">
        <v>Bomba de vácuo</v>
      </c>
      <c r="F19" s="83" t="str">
        <v>H</v>
      </c>
      <c r="G19" s="85">
        <v>0.5</v>
      </c>
      <c r="H19" s="85"/>
      <c r="I19" s="86">
        <v>0.75</v>
      </c>
      <c r="J19" s="86">
        <v>0.375</v>
      </c>
      <c r="K19" s="86" t="str">
        <v/>
      </c>
      <c r="L19" s="87">
        <v>1.3</v>
      </c>
      <c r="M19" s="86">
        <v>0.48750000000000004</v>
      </c>
      <c r="N19" s="86" t="str">
        <v/>
      </c>
      <c r="O19" s="82"/>
      <c r="P19" s="82"/>
      <c r="Q19" s="82"/>
    </row>
    <row r="20" spans="1:17" x14ac:dyDescent="0.25">
      <c r="A20" s="82"/>
      <c r="B20" s="82"/>
      <c r="C20" s="83" t="s">
        <v>35</v>
      </c>
      <c r="D20" s="84" t="s">
        <v>37</v>
      </c>
      <c r="E20" s="82" t="str">
        <v>Manifold digital</v>
      </c>
      <c r="F20" s="83" t="str">
        <v>H</v>
      </c>
      <c r="G20" s="85">
        <v>0.5</v>
      </c>
      <c r="H20" s="85"/>
      <c r="I20" s="86">
        <v>0.26666666666666666</v>
      </c>
      <c r="J20" s="86">
        <v>0.13333333333333333</v>
      </c>
      <c r="K20" s="86" t="str">
        <v/>
      </c>
      <c r="L20" s="87">
        <v>1.3</v>
      </c>
      <c r="M20" s="86">
        <v>0.17333333333333334</v>
      </c>
      <c r="N20" s="86" t="str">
        <v/>
      </c>
      <c r="O20" s="82"/>
      <c r="P20" s="82"/>
      <c r="Q20" s="82"/>
    </row>
    <row r="21" spans="1:17" x14ac:dyDescent="0.25">
      <c r="A21" s="82"/>
      <c r="B21" s="82"/>
      <c r="C21" s="83" t="s">
        <v>35</v>
      </c>
      <c r="D21" s="84" t="s">
        <v>38</v>
      </c>
      <c r="E21" s="82" t="str">
        <v>Kit solda oxigênio/GLP</v>
      </c>
      <c r="F21" s="83" t="str">
        <v>H</v>
      </c>
      <c r="G21" s="85">
        <v>0.5</v>
      </c>
      <c r="H21" s="85"/>
      <c r="I21" s="86">
        <v>0.8</v>
      </c>
      <c r="J21" s="86">
        <v>0.4</v>
      </c>
      <c r="K21" s="86" t="str">
        <v/>
      </c>
      <c r="L21" s="87">
        <v>1.3</v>
      </c>
      <c r="M21" s="86">
        <v>0.52</v>
      </c>
      <c r="N21" s="86" t="str">
        <v/>
      </c>
      <c r="O21" s="82"/>
      <c r="P21" s="82"/>
      <c r="Q21" s="82"/>
    </row>
    <row r="22" spans="1:17" x14ac:dyDescent="0.25">
      <c r="A22" s="82"/>
      <c r="B22" s="82"/>
      <c r="C22" s="83" t="s">
        <v>35</v>
      </c>
      <c r="D22" s="84" t="s">
        <v>39</v>
      </c>
      <c r="E22" s="82" t="str">
        <v>Ferramentas manuais (conjunto)</v>
      </c>
      <c r="F22" s="83" t="str">
        <v>H</v>
      </c>
      <c r="G22" s="85">
        <v>2.5</v>
      </c>
      <c r="H22" s="85"/>
      <c r="I22" s="86">
        <v>0.3</v>
      </c>
      <c r="J22" s="86">
        <v>0.75</v>
      </c>
      <c r="K22" s="86" t="str">
        <v/>
      </c>
      <c r="L22" s="87">
        <v>1.3</v>
      </c>
      <c r="M22" s="86">
        <v>0.97500000000000009</v>
      </c>
      <c r="N22" s="86" t="str">
        <v/>
      </c>
      <c r="O22" s="82"/>
      <c r="P22" s="82"/>
      <c r="Q22" s="82"/>
    </row>
    <row r="23" spans="1:17" x14ac:dyDescent="0.25">
      <c r="E23" t="str">
        <v/>
      </c>
      <c r="F23" t="str">
        <v/>
      </c>
      <c r="I23" t="str">
        <v/>
      </c>
      <c r="J23" t="str">
        <v/>
      </c>
      <c r="K23" t="str">
        <v/>
      </c>
      <c r="L23" t="str">
        <v/>
      </c>
      <c r="M23" t="str">
        <v/>
      </c>
      <c r="N23" t="str">
        <v/>
      </c>
    </row>
    <row r="24" spans="1:17" x14ac:dyDescent="0.25">
      <c r="A24" s="66" t="s">
        <v>40</v>
      </c>
      <c r="B24" s="67" t="s">
        <v>41</v>
      </c>
      <c r="C24" s="68"/>
      <c r="D24" s="68"/>
      <c r="E24" s="68" t="str">
        <v/>
      </c>
      <c r="F24" s="68" t="str">
        <v/>
      </c>
      <c r="G24" s="68"/>
      <c r="H24" s="68"/>
      <c r="I24" s="68" t="str">
        <v/>
      </c>
      <c r="J24" s="69">
        <v>178.36</v>
      </c>
      <c r="K24" s="69">
        <v>0</v>
      </c>
      <c r="L24" s="68" t="str">
        <v/>
      </c>
      <c r="M24" s="69">
        <v>252.018</v>
      </c>
      <c r="N24" s="69">
        <v>0</v>
      </c>
      <c r="O24" s="68" t="str">
        <f>A24&amp;" - "&amp;B24</f>
        <v>COMP_SUP_MF - Adicional suporte mão francesa 400mm (condensadora)</v>
      </c>
      <c r="P24" s="70"/>
      <c r="Q24" s="70"/>
    </row>
    <row r="25" spans="1:17" x14ac:dyDescent="0.25">
      <c r="A25" s="17"/>
      <c r="B25" s="17"/>
      <c r="C25" s="71" t="s">
        <v>17</v>
      </c>
      <c r="D25" s="72" t="s">
        <v>42</v>
      </c>
      <c r="E25" s="17" t="str">
        <v>Suporte mão francesa 400mm (par)</v>
      </c>
      <c r="F25" s="63" t="str">
        <v>PAR</v>
      </c>
      <c r="G25" s="73">
        <v>1</v>
      </c>
      <c r="H25" s="73"/>
      <c r="I25" s="64">
        <v>85</v>
      </c>
      <c r="J25" s="64">
        <v>85</v>
      </c>
      <c r="K25" s="64" t="str">
        <v/>
      </c>
      <c r="L25" s="74">
        <v>1.35</v>
      </c>
      <c r="M25" s="64">
        <v>114.75000000000001</v>
      </c>
      <c r="N25" s="64" t="str">
        <v/>
      </c>
      <c r="O25" s="17"/>
      <c r="P25" s="17"/>
      <c r="Q25" s="17"/>
    </row>
    <row r="26" spans="1:17" x14ac:dyDescent="0.25">
      <c r="A26" s="17"/>
      <c r="B26" s="17"/>
      <c r="C26" s="71" t="s">
        <v>17</v>
      </c>
      <c r="D26" s="72" t="s">
        <v>43</v>
      </c>
      <c r="E26" s="17" t="str">
        <v>Parafuso sextavado 3/8"x100mm c/ bucha</v>
      </c>
      <c r="F26" s="63" t="str">
        <v>UN</v>
      </c>
      <c r="G26" s="73">
        <v>4</v>
      </c>
      <c r="H26" s="73"/>
      <c r="I26" s="64">
        <v>4.5</v>
      </c>
      <c r="J26" s="64">
        <v>18</v>
      </c>
      <c r="K26" s="64" t="str">
        <v/>
      </c>
      <c r="L26" s="74">
        <v>1.35</v>
      </c>
      <c r="M26" s="64">
        <v>24.3</v>
      </c>
      <c r="N26" s="64" t="str">
        <v/>
      </c>
      <c r="O26" s="17"/>
      <c r="P26" s="17"/>
      <c r="Q26" s="17"/>
    </row>
    <row r="27" spans="1:17" x14ac:dyDescent="0.25">
      <c r="A27" s="76"/>
      <c r="B27" s="76"/>
      <c r="C27" s="77" t="s">
        <v>32</v>
      </c>
      <c r="D27" s="78" t="s">
        <v>33</v>
      </c>
      <c r="E27" s="76" t="str">
        <v>Técnico em refrigeração</v>
      </c>
      <c r="F27" s="77" t="str">
        <v>H</v>
      </c>
      <c r="G27" s="79">
        <v>0.75</v>
      </c>
      <c r="H27" s="79"/>
      <c r="I27" s="80">
        <v>65</v>
      </c>
      <c r="J27" s="80">
        <v>48.75</v>
      </c>
      <c r="K27" s="80" t="str">
        <v/>
      </c>
      <c r="L27" s="81">
        <v>1.5</v>
      </c>
      <c r="M27" s="80">
        <v>73.125</v>
      </c>
      <c r="N27" s="80" t="str">
        <v/>
      </c>
      <c r="O27" s="76"/>
      <c r="P27" s="76"/>
      <c r="Q27" s="76"/>
    </row>
    <row r="28" spans="1:17" x14ac:dyDescent="0.25">
      <c r="A28" s="76"/>
      <c r="B28" s="76"/>
      <c r="C28" s="77" t="s">
        <v>32</v>
      </c>
      <c r="D28" s="78" t="s">
        <v>34</v>
      </c>
      <c r="E28" s="76" t="str">
        <v>Ajudante de instalação</v>
      </c>
      <c r="F28" s="77" t="str">
        <v>H</v>
      </c>
      <c r="G28" s="79">
        <v>0.75</v>
      </c>
      <c r="H28" s="79"/>
      <c r="I28" s="80">
        <v>35</v>
      </c>
      <c r="J28" s="80">
        <v>26.25</v>
      </c>
      <c r="K28" s="80" t="str">
        <v/>
      </c>
      <c r="L28" s="81">
        <v>1.5</v>
      </c>
      <c r="M28" s="80">
        <v>39.375</v>
      </c>
      <c r="N28" s="80" t="str">
        <v/>
      </c>
      <c r="O28" s="76"/>
      <c r="P28" s="76"/>
      <c r="Q28" s="76"/>
    </row>
    <row r="29" spans="1:17" x14ac:dyDescent="0.25">
      <c r="A29" s="82"/>
      <c r="B29" s="82"/>
      <c r="C29" s="83" t="s">
        <v>35</v>
      </c>
      <c r="D29" s="84" t="s">
        <v>44</v>
      </c>
      <c r="E29" s="82" t="str">
        <v>Perfuratriz/martelete</v>
      </c>
      <c r="F29" s="83" t="str">
        <v>H</v>
      </c>
      <c r="G29" s="85">
        <v>0.5</v>
      </c>
      <c r="H29" s="85"/>
      <c r="I29" s="86">
        <v>0.72</v>
      </c>
      <c r="J29" s="86">
        <v>0.36</v>
      </c>
      <c r="K29" s="86" t="str">
        <v/>
      </c>
      <c r="L29" s="87">
        <v>1.3</v>
      </c>
      <c r="M29" s="86">
        <v>0.46799999999999997</v>
      </c>
      <c r="N29" s="86" t="str">
        <v/>
      </c>
      <c r="O29" s="82"/>
      <c r="P29" s="82"/>
      <c r="Q29" s="82"/>
    </row>
    <row r="30" spans="1:17" x14ac:dyDescent="0.25">
      <c r="E30" t="str">
        <v/>
      </c>
      <c r="F30" t="str">
        <v/>
      </c>
      <c r="I30" t="str">
        <v/>
      </c>
      <c r="J30" t="str">
        <v/>
      </c>
      <c r="K30" t="str">
        <v/>
      </c>
      <c r="L30" t="str">
        <v/>
      </c>
      <c r="M30" t="str">
        <v/>
      </c>
      <c r="N30" t="str">
        <v/>
      </c>
    </row>
    <row r="31" spans="1:17" x14ac:dyDescent="0.25">
      <c r="A31" s="66" t="s">
        <v>45</v>
      </c>
      <c r="B31" s="67" t="s">
        <v>46</v>
      </c>
      <c r="C31" s="68"/>
      <c r="D31" s="68"/>
      <c r="E31" s="68" t="str">
        <v/>
      </c>
      <c r="F31" s="68" t="str">
        <v/>
      </c>
      <c r="G31" s="68"/>
      <c r="H31" s="68"/>
      <c r="I31" s="68" t="str">
        <v/>
      </c>
      <c r="J31" s="69">
        <v>51.25</v>
      </c>
      <c r="K31" s="69">
        <v>0</v>
      </c>
      <c r="L31" s="68" t="str">
        <v/>
      </c>
      <c r="M31" s="69">
        <v>71.625</v>
      </c>
      <c r="N31" s="69">
        <v>0</v>
      </c>
      <c r="O31" s="68" t="str">
        <f>A31&amp;" - "&amp;B31</f>
        <v>COMP_SUP_CALCO - Adicional calços de borracha (condensadora)</v>
      </c>
      <c r="P31" s="70"/>
      <c r="Q31" s="70"/>
    </row>
    <row r="32" spans="1:17" x14ac:dyDescent="0.25">
      <c r="A32" s="17"/>
      <c r="B32" s="17"/>
      <c r="C32" s="71" t="s">
        <v>17</v>
      </c>
      <c r="D32" s="72" t="s">
        <v>47</v>
      </c>
      <c r="E32" s="17" t="str">
        <v>Calço borracha antivibração (jg 4pç)</v>
      </c>
      <c r="F32" s="63" t="str">
        <v>JG</v>
      </c>
      <c r="G32" s="73">
        <v>1</v>
      </c>
      <c r="H32" s="73"/>
      <c r="I32" s="64">
        <v>35</v>
      </c>
      <c r="J32" s="64">
        <v>35</v>
      </c>
      <c r="K32" s="64" t="str">
        <v/>
      </c>
      <c r="L32" s="74">
        <v>1.35</v>
      </c>
      <c r="M32" s="64">
        <v>47.25</v>
      </c>
      <c r="N32" s="64" t="str">
        <v/>
      </c>
      <c r="O32" s="17"/>
      <c r="P32" s="17"/>
      <c r="Q32" s="17"/>
    </row>
    <row r="33" spans="1:17" x14ac:dyDescent="0.25">
      <c r="A33" s="76"/>
      <c r="B33" s="76"/>
      <c r="C33" s="77" t="s">
        <v>32</v>
      </c>
      <c r="D33" s="78" t="s">
        <v>33</v>
      </c>
      <c r="E33" s="76" t="str">
        <v>Técnico em refrigeração</v>
      </c>
      <c r="F33" s="77" t="str">
        <v>H</v>
      </c>
      <c r="G33" s="79">
        <v>0.25</v>
      </c>
      <c r="H33" s="79"/>
      <c r="I33" s="80">
        <v>65</v>
      </c>
      <c r="J33" s="80">
        <v>16.25</v>
      </c>
      <c r="K33" s="80" t="str">
        <v/>
      </c>
      <c r="L33" s="81">
        <v>1.5</v>
      </c>
      <c r="M33" s="80">
        <v>24.375</v>
      </c>
      <c r="N33" s="80" t="str">
        <v/>
      </c>
      <c r="O33" s="76"/>
      <c r="P33" s="76"/>
      <c r="Q33" s="76"/>
    </row>
    <row r="34" spans="1:17" x14ac:dyDescent="0.25">
      <c r="E34" t="str">
        <v/>
      </c>
      <c r="F34" t="str">
        <v/>
      </c>
      <c r="I34" t="str">
        <v/>
      </c>
      <c r="J34" t="str">
        <v/>
      </c>
      <c r="K34" t="str">
        <v/>
      </c>
      <c r="L34" t="str">
        <v/>
      </c>
      <c r="M34" t="str">
        <v/>
      </c>
      <c r="N34" t="str">
        <v/>
      </c>
    </row>
    <row r="35" spans="1:17" x14ac:dyDescent="0.25">
      <c r="A35" s="66" t="s">
        <v>48</v>
      </c>
      <c r="B35" s="67" t="s">
        <v>49</v>
      </c>
      <c r="C35" s="68"/>
      <c r="D35" s="68"/>
      <c r="E35" s="68" t="str">
        <v/>
      </c>
      <c r="F35" s="68" t="str">
        <v/>
      </c>
      <c r="G35" s="68"/>
      <c r="H35" s="68"/>
      <c r="I35" s="68" t="str">
        <v/>
      </c>
      <c r="J35" s="69">
        <v>60.075000000000003</v>
      </c>
      <c r="K35" s="69">
        <v>21.86</v>
      </c>
      <c r="L35" s="68" t="str">
        <v/>
      </c>
      <c r="M35" s="69">
        <v>89.347499999999997</v>
      </c>
      <c r="N35" s="69">
        <v>30.7485</v>
      </c>
      <c r="O35" s="68" t="str">
        <f>A35&amp;" - "&amp;B35</f>
        <v>COMP_ELE - Alimentação elétrica 220V mono</v>
      </c>
      <c r="P35" s="70" t="s">
        <v>50</v>
      </c>
      <c r="Q35" s="70" t="s">
        <v>51</v>
      </c>
    </row>
    <row r="36" spans="1:17" x14ac:dyDescent="0.25">
      <c r="A36" s="17"/>
      <c r="B36" s="17"/>
      <c r="C36" s="71" t="s">
        <v>17</v>
      </c>
      <c r="D36" s="72" t="s">
        <v>52</v>
      </c>
      <c r="E36" s="17" t="str">
        <v>Cabo PP 3x2,5mm²</v>
      </c>
      <c r="F36" s="63" t="str">
        <v>M</v>
      </c>
      <c r="G36" s="73"/>
      <c r="H36" s="73">
        <v>1.1000000000000001</v>
      </c>
      <c r="I36" s="64">
        <v>9</v>
      </c>
      <c r="J36" s="64" t="str">
        <v/>
      </c>
      <c r="K36" s="64">
        <v>9.9</v>
      </c>
      <c r="L36" s="74">
        <v>1.35</v>
      </c>
      <c r="M36" s="64" t="str">
        <v/>
      </c>
      <c r="N36" s="64">
        <v>13.365000000000002</v>
      </c>
      <c r="O36" s="17"/>
      <c r="P36" s="17"/>
      <c r="Q36" s="17"/>
    </row>
    <row r="37" spans="1:17" x14ac:dyDescent="0.25">
      <c r="A37" s="17"/>
      <c r="B37" s="17"/>
      <c r="C37" s="71" t="s">
        <v>17</v>
      </c>
      <c r="D37" s="72" t="s">
        <v>53</v>
      </c>
      <c r="E37" s="17" t="str">
        <v>Eletroduto corrugado 3/4"</v>
      </c>
      <c r="F37" s="63" t="str">
        <v>M</v>
      </c>
      <c r="G37" s="73"/>
      <c r="H37" s="73">
        <v>1.1000000000000001</v>
      </c>
      <c r="I37" s="64">
        <v>2.5</v>
      </c>
      <c r="J37" s="64" t="str">
        <v/>
      </c>
      <c r="K37" s="64">
        <v>2.75</v>
      </c>
      <c r="L37" s="74">
        <v>1.35</v>
      </c>
      <c r="M37" s="64" t="str">
        <v/>
      </c>
      <c r="N37" s="64">
        <v>3.7125000000000004</v>
      </c>
      <c r="O37" s="17"/>
      <c r="P37" s="17"/>
      <c r="Q37" s="17"/>
    </row>
    <row r="38" spans="1:17" x14ac:dyDescent="0.25">
      <c r="A38" s="17"/>
      <c r="B38" s="17"/>
      <c r="C38" s="71" t="s">
        <v>17</v>
      </c>
      <c r="D38" s="72" t="s">
        <v>54</v>
      </c>
      <c r="E38" s="17" t="str">
        <v>Curva 90° eletroduto 3/4"</v>
      </c>
      <c r="F38" s="63" t="str">
        <v>UN</v>
      </c>
      <c r="G38" s="73">
        <v>2</v>
      </c>
      <c r="H38" s="73"/>
      <c r="I38" s="64">
        <v>1.5</v>
      </c>
      <c r="J38" s="64">
        <v>3</v>
      </c>
      <c r="K38" s="64" t="str">
        <v/>
      </c>
      <c r="L38" s="74">
        <v>1.35</v>
      </c>
      <c r="M38" s="64">
        <v>4.0500000000000007</v>
      </c>
      <c r="N38" s="64" t="str">
        <v/>
      </c>
      <c r="O38" s="17"/>
      <c r="P38" s="17"/>
      <c r="Q38" s="17"/>
    </row>
    <row r="39" spans="1:17" x14ac:dyDescent="0.25">
      <c r="A39" s="17"/>
      <c r="B39" s="17"/>
      <c r="C39" s="71" t="s">
        <v>17</v>
      </c>
      <c r="D39" s="72" t="s">
        <v>55</v>
      </c>
      <c r="E39" s="17" t="str">
        <v>Abraçadeira para eletroduto 3/4"</v>
      </c>
      <c r="F39" s="63" t="str">
        <v>UN</v>
      </c>
      <c r="G39" s="73"/>
      <c r="H39" s="73">
        <v>1.2</v>
      </c>
      <c r="I39" s="64">
        <v>0.8</v>
      </c>
      <c r="J39" s="64" t="str">
        <v/>
      </c>
      <c r="K39" s="64">
        <v>0.96</v>
      </c>
      <c r="L39" s="74">
        <v>1.35</v>
      </c>
      <c r="M39" s="64" t="str">
        <v/>
      </c>
      <c r="N39" s="64">
        <v>1.296</v>
      </c>
      <c r="O39" s="17"/>
      <c r="P39" s="17"/>
      <c r="Q39" s="17"/>
    </row>
    <row r="40" spans="1:17" x14ac:dyDescent="0.25">
      <c r="A40" s="17"/>
      <c r="B40" s="17"/>
      <c r="C40" s="71" t="s">
        <v>17</v>
      </c>
      <c r="D40" s="72" t="s">
        <v>28</v>
      </c>
      <c r="E40" s="17" t="str">
        <v>Fita isolante preta 20m</v>
      </c>
      <c r="F40" s="63" t="str">
        <v>UN</v>
      </c>
      <c r="G40" s="73">
        <v>0.25</v>
      </c>
      <c r="H40" s="73"/>
      <c r="I40" s="64">
        <v>8</v>
      </c>
      <c r="J40" s="64">
        <v>2</v>
      </c>
      <c r="K40" s="64" t="str">
        <v/>
      </c>
      <c r="L40" s="74">
        <v>1.35</v>
      </c>
      <c r="M40" s="64">
        <v>2.7</v>
      </c>
      <c r="N40" s="64" t="str">
        <v/>
      </c>
      <c r="O40" s="17"/>
      <c r="P40" s="17"/>
      <c r="Q40" s="17"/>
    </row>
    <row r="41" spans="1:17" x14ac:dyDescent="0.25">
      <c r="A41" s="76"/>
      <c r="B41" s="76"/>
      <c r="C41" s="77" t="s">
        <v>32</v>
      </c>
      <c r="D41" s="78" t="s">
        <v>56</v>
      </c>
      <c r="E41" s="76" t="str">
        <v>Eletricista</v>
      </c>
      <c r="F41" s="77" t="str">
        <v>H</v>
      </c>
      <c r="G41" s="79">
        <v>1</v>
      </c>
      <c r="H41" s="79">
        <v>0.15</v>
      </c>
      <c r="I41" s="80">
        <v>55</v>
      </c>
      <c r="J41" s="80">
        <v>55</v>
      </c>
      <c r="K41" s="80">
        <v>8.25</v>
      </c>
      <c r="L41" s="81">
        <v>1.5</v>
      </c>
      <c r="M41" s="80">
        <v>82.5</v>
      </c>
      <c r="N41" s="80">
        <v>12.375</v>
      </c>
      <c r="O41" s="76"/>
      <c r="P41" s="76"/>
      <c r="Q41" s="76"/>
    </row>
    <row r="42" spans="1:17" x14ac:dyDescent="0.25">
      <c r="A42" s="82"/>
      <c r="B42" s="82"/>
      <c r="C42" s="83" t="s">
        <v>35</v>
      </c>
      <c r="D42" s="84" t="s">
        <v>57</v>
      </c>
      <c r="E42" s="82" t="str">
        <v>Multímetro/alicate amperímetro</v>
      </c>
      <c r="F42" s="83" t="str">
        <v>H</v>
      </c>
      <c r="G42" s="85">
        <v>0.5</v>
      </c>
      <c r="H42" s="85"/>
      <c r="I42" s="86">
        <v>0.15</v>
      </c>
      <c r="J42" s="86">
        <v>7.4999999999999997E-2</v>
      </c>
      <c r="K42" s="86" t="str">
        <v/>
      </c>
      <c r="L42" s="87">
        <v>1.3</v>
      </c>
      <c r="M42" s="86">
        <v>9.7500000000000003E-2</v>
      </c>
      <c r="N42" s="86" t="str">
        <v/>
      </c>
      <c r="O42" s="82"/>
      <c r="P42" s="82"/>
      <c r="Q42" s="82"/>
    </row>
    <row r="43" spans="1:17" x14ac:dyDescent="0.25">
      <c r="E43" t="str">
        <v/>
      </c>
      <c r="F43" t="str">
        <v/>
      </c>
      <c r="I43" t="str">
        <v/>
      </c>
      <c r="J43" t="str">
        <v/>
      </c>
      <c r="K43" t="str">
        <v/>
      </c>
      <c r="L43" t="str">
        <v/>
      </c>
      <c r="M43" t="str">
        <v/>
      </c>
      <c r="N43" t="str">
        <v/>
      </c>
    </row>
    <row r="44" spans="1:17" x14ac:dyDescent="0.25">
      <c r="A44" s="66" t="s">
        <v>58</v>
      </c>
      <c r="B44" s="67" t="s">
        <v>59</v>
      </c>
      <c r="C44" s="68"/>
      <c r="D44" s="68"/>
      <c r="E44" s="68" t="str">
        <v/>
      </c>
      <c r="F44" s="68" t="str">
        <v/>
      </c>
      <c r="G44" s="68"/>
      <c r="H44" s="68"/>
      <c r="I44" s="68" t="str">
        <v/>
      </c>
      <c r="J44" s="69">
        <v>16.25</v>
      </c>
      <c r="K44" s="69">
        <v>11.55</v>
      </c>
      <c r="L44" s="68" t="str">
        <v/>
      </c>
      <c r="M44" s="69">
        <v>24.375</v>
      </c>
      <c r="N44" s="69">
        <v>16.567500000000003</v>
      </c>
      <c r="O44" s="68" t="str">
        <f>A44&amp;" - "&amp;B44</f>
        <v>COMP_DRN_CRIS - Dreno mangueira cristal</v>
      </c>
      <c r="P44" s="70" t="s">
        <v>60</v>
      </c>
      <c r="Q44" s="70"/>
    </row>
    <row r="45" spans="1:17" x14ac:dyDescent="0.25">
      <c r="A45" s="17"/>
      <c r="B45" s="17"/>
      <c r="C45" s="71" t="s">
        <v>17</v>
      </c>
      <c r="D45" s="72" t="s">
        <v>61</v>
      </c>
      <c r="E45" s="17" t="str">
        <v>Mangueira cristal 3/4"</v>
      </c>
      <c r="F45" s="63" t="str">
        <v>M</v>
      </c>
      <c r="G45" s="73"/>
      <c r="H45" s="73">
        <v>1.1000000000000001</v>
      </c>
      <c r="I45" s="64">
        <v>4</v>
      </c>
      <c r="J45" s="64" t="str">
        <v/>
      </c>
      <c r="K45" s="64">
        <v>4.4000000000000004</v>
      </c>
      <c r="L45" s="74">
        <v>1.35</v>
      </c>
      <c r="M45" s="64" t="str">
        <v/>
      </c>
      <c r="N45" s="64">
        <v>5.9400000000000013</v>
      </c>
      <c r="O45" s="17"/>
      <c r="P45" s="17"/>
      <c r="Q45" s="17"/>
    </row>
    <row r="46" spans="1:17" x14ac:dyDescent="0.25">
      <c r="A46" s="17"/>
      <c r="B46" s="17"/>
      <c r="C46" s="71" t="s">
        <v>17</v>
      </c>
      <c r="D46" s="72" t="s">
        <v>62</v>
      </c>
      <c r="E46" s="17" t="str">
        <v>Abraçadeira nylon 3/4"</v>
      </c>
      <c r="F46" s="63" t="str">
        <v>UN</v>
      </c>
      <c r="G46" s="73"/>
      <c r="H46" s="73">
        <v>1.3</v>
      </c>
      <c r="I46" s="64">
        <v>0.5</v>
      </c>
      <c r="J46" s="64" t="str">
        <v/>
      </c>
      <c r="K46" s="64">
        <v>0.65</v>
      </c>
      <c r="L46" s="74">
        <v>1.35</v>
      </c>
      <c r="M46" s="64" t="str">
        <v/>
      </c>
      <c r="N46" s="64">
        <v>0.87750000000000006</v>
      </c>
      <c r="O46" s="17"/>
      <c r="P46" s="17"/>
      <c r="Q46" s="17"/>
    </row>
    <row r="47" spans="1:17" x14ac:dyDescent="0.25">
      <c r="A47" s="76"/>
      <c r="B47" s="76"/>
      <c r="C47" s="77" t="s">
        <v>32</v>
      </c>
      <c r="D47" s="78" t="s">
        <v>33</v>
      </c>
      <c r="E47" s="76" t="str">
        <v>Técnico em refrigeração</v>
      </c>
      <c r="F47" s="77" t="str">
        <v>H</v>
      </c>
      <c r="G47" s="79">
        <v>0.25</v>
      </c>
      <c r="H47" s="79">
        <v>0.1</v>
      </c>
      <c r="I47" s="80">
        <v>65</v>
      </c>
      <c r="J47" s="80">
        <v>16.25</v>
      </c>
      <c r="K47" s="80">
        <v>6.5</v>
      </c>
      <c r="L47" s="81">
        <v>1.5</v>
      </c>
      <c r="M47" s="80">
        <v>24.375</v>
      </c>
      <c r="N47" s="80">
        <v>9.75</v>
      </c>
      <c r="O47" s="76"/>
      <c r="P47" s="76"/>
      <c r="Q47" s="76"/>
    </row>
    <row r="48" spans="1:17" x14ac:dyDescent="0.25">
      <c r="E48" t="str">
        <v/>
      </c>
      <c r="F48" t="str">
        <v/>
      </c>
      <c r="I48" t="str">
        <v/>
      </c>
      <c r="J48" t="str">
        <v/>
      </c>
      <c r="K48" t="str">
        <v/>
      </c>
      <c r="L48" t="str">
        <v/>
      </c>
      <c r="M48" t="str">
        <v/>
      </c>
      <c r="N48" t="str">
        <v/>
      </c>
    </row>
    <row r="49" spans="1:17" x14ac:dyDescent="0.25">
      <c r="A49" s="66" t="s">
        <v>63</v>
      </c>
      <c r="B49" s="67" t="s">
        <v>64</v>
      </c>
      <c r="C49" s="68"/>
      <c r="D49" s="68"/>
      <c r="E49" s="68" t="str">
        <v/>
      </c>
      <c r="F49" s="68" t="str">
        <v/>
      </c>
      <c r="G49" s="68"/>
      <c r="H49" s="68"/>
      <c r="I49" s="68" t="str">
        <v/>
      </c>
      <c r="J49" s="69">
        <v>43.1</v>
      </c>
      <c r="K49" s="69">
        <v>19.55</v>
      </c>
      <c r="L49" s="68" t="str">
        <v/>
      </c>
      <c r="M49" s="69">
        <v>63.06</v>
      </c>
      <c r="N49" s="69">
        <v>27.855000000000004</v>
      </c>
      <c r="O49" s="68" t="str">
        <f>A49&amp;" - "&amp;B49</f>
        <v>COMP_DRN_PVC - Dreno tubo PVC 25mm</v>
      </c>
      <c r="P49" s="70" t="s">
        <v>65</v>
      </c>
      <c r="Q49" s="70"/>
    </row>
    <row r="50" spans="1:17" x14ac:dyDescent="0.25">
      <c r="A50" s="17"/>
      <c r="B50" s="17"/>
      <c r="C50" s="71" t="s">
        <v>17</v>
      </c>
      <c r="D50" s="72" t="s">
        <v>66</v>
      </c>
      <c r="E50" s="17" t="str">
        <v>Tubo PVC esgoto 25mm</v>
      </c>
      <c r="F50" s="63" t="str">
        <v>M</v>
      </c>
      <c r="G50" s="73"/>
      <c r="H50" s="73">
        <v>1.1000000000000001</v>
      </c>
      <c r="I50" s="64">
        <v>8</v>
      </c>
      <c r="J50" s="64" t="str">
        <v/>
      </c>
      <c r="K50" s="64">
        <v>8.8000000000000007</v>
      </c>
      <c r="L50" s="74">
        <v>1.35</v>
      </c>
      <c r="M50" s="64" t="str">
        <v/>
      </c>
      <c r="N50" s="64">
        <v>11.880000000000003</v>
      </c>
      <c r="O50" s="17"/>
      <c r="P50" s="17"/>
      <c r="Q50" s="17"/>
    </row>
    <row r="51" spans="1:17" x14ac:dyDescent="0.25">
      <c r="A51" s="17"/>
      <c r="B51" s="17"/>
      <c r="C51" s="71" t="s">
        <v>17</v>
      </c>
      <c r="D51" s="72" t="s">
        <v>67</v>
      </c>
      <c r="E51" s="17" t="str">
        <v>Curva 90° PVC 25mm</v>
      </c>
      <c r="F51" s="63" t="str">
        <v>UN</v>
      </c>
      <c r="G51" s="73">
        <v>2</v>
      </c>
      <c r="H51" s="73"/>
      <c r="I51" s="64">
        <v>3.5</v>
      </c>
      <c r="J51" s="64">
        <v>7</v>
      </c>
      <c r="K51" s="64" t="str">
        <v/>
      </c>
      <c r="L51" s="74">
        <v>1.35</v>
      </c>
      <c r="M51" s="64">
        <v>9.4500000000000011</v>
      </c>
      <c r="N51" s="64" t="str">
        <v/>
      </c>
      <c r="O51" s="17"/>
      <c r="P51" s="17"/>
      <c r="Q51" s="17"/>
    </row>
    <row r="52" spans="1:17" x14ac:dyDescent="0.25">
      <c r="A52" s="17"/>
      <c r="B52" s="17"/>
      <c r="C52" s="71" t="s">
        <v>17</v>
      </c>
      <c r="D52" s="72" t="s">
        <v>68</v>
      </c>
      <c r="E52" s="17" t="str">
        <v>Luva PVC 25mm</v>
      </c>
      <c r="F52" s="63" t="str">
        <v>UN</v>
      </c>
      <c r="G52" s="73"/>
      <c r="H52" s="73">
        <v>0.5</v>
      </c>
      <c r="I52" s="64">
        <v>2</v>
      </c>
      <c r="J52" s="64" t="str">
        <v/>
      </c>
      <c r="K52" s="64">
        <v>1</v>
      </c>
      <c r="L52" s="74">
        <v>1.35</v>
      </c>
      <c r="M52" s="64" t="str">
        <v/>
      </c>
      <c r="N52" s="64">
        <v>1.35</v>
      </c>
      <c r="O52" s="17"/>
      <c r="P52" s="17"/>
      <c r="Q52" s="17"/>
    </row>
    <row r="53" spans="1:17" x14ac:dyDescent="0.25">
      <c r="A53" s="17"/>
      <c r="B53" s="17"/>
      <c r="C53" s="71" t="s">
        <v>17</v>
      </c>
      <c r="D53" s="72" t="s">
        <v>69</v>
      </c>
      <c r="E53" s="17" t="str">
        <v>Cola PVC (tubo 75g)</v>
      </c>
      <c r="F53" s="63" t="str">
        <v>UN</v>
      </c>
      <c r="G53" s="73">
        <v>0.3</v>
      </c>
      <c r="H53" s="73"/>
      <c r="I53" s="64">
        <v>12</v>
      </c>
      <c r="J53" s="64">
        <v>3.5999999999999996</v>
      </c>
      <c r="K53" s="64" t="str">
        <v/>
      </c>
      <c r="L53" s="74">
        <v>1.35</v>
      </c>
      <c r="M53" s="64">
        <v>4.8599999999999994</v>
      </c>
      <c r="N53" s="64" t="str">
        <v/>
      </c>
      <c r="O53" s="17"/>
      <c r="P53" s="17"/>
      <c r="Q53" s="17"/>
    </row>
    <row r="54" spans="1:17" x14ac:dyDescent="0.25">
      <c r="A54" s="76"/>
      <c r="B54" s="76"/>
      <c r="C54" s="77" t="s">
        <v>32</v>
      </c>
      <c r="D54" s="78" t="s">
        <v>33</v>
      </c>
      <c r="E54" s="76" t="str">
        <v>Técnico em refrigeração</v>
      </c>
      <c r="F54" s="77" t="str">
        <v>H</v>
      </c>
      <c r="G54" s="79">
        <v>0.5</v>
      </c>
      <c r="H54" s="79">
        <v>0.15</v>
      </c>
      <c r="I54" s="80">
        <v>65</v>
      </c>
      <c r="J54" s="80">
        <v>32.5</v>
      </c>
      <c r="K54" s="80">
        <v>9.75</v>
      </c>
      <c r="L54" s="81">
        <v>1.5</v>
      </c>
      <c r="M54" s="80">
        <v>48.75</v>
      </c>
      <c r="N54" s="80">
        <v>14.625</v>
      </c>
      <c r="O54" s="76"/>
      <c r="P54" s="76"/>
      <c r="Q54" s="76"/>
    </row>
    <row r="55" spans="1:17" x14ac:dyDescent="0.25">
      <c r="E55" t="str">
        <v/>
      </c>
      <c r="F55" t="str">
        <v/>
      </c>
      <c r="I55" t="str">
        <v/>
      </c>
      <c r="J55" t="str">
        <v/>
      </c>
      <c r="K55" t="str">
        <v/>
      </c>
      <c r="L55" t="str">
        <v/>
      </c>
      <c r="M55" t="str">
        <v/>
      </c>
      <c r="N55" t="str">
        <v/>
      </c>
    </row>
    <row r="56" spans="1:17" x14ac:dyDescent="0.25">
      <c r="A56" s="66" t="s">
        <v>70</v>
      </c>
      <c r="B56" s="67" t="s">
        <v>71</v>
      </c>
      <c r="C56" s="68"/>
      <c r="D56" s="68"/>
      <c r="E56" s="68" t="str">
        <v/>
      </c>
      <c r="F56" s="68" t="str">
        <v/>
      </c>
      <c r="G56" s="68"/>
      <c r="H56" s="68"/>
      <c r="I56" s="68" t="str">
        <v/>
      </c>
      <c r="J56" s="69">
        <v>87.56</v>
      </c>
      <c r="K56" s="69">
        <v>0</v>
      </c>
      <c r="L56" s="68" t="str">
        <v/>
      </c>
      <c r="M56" s="69">
        <v>129.37799999999999</v>
      </c>
      <c r="N56" s="69">
        <v>0</v>
      </c>
      <c r="O56" s="68" t="str">
        <f>A56&amp;" - "&amp;B56</f>
        <v>COMP_FURO - Furo em parede/laje/viga (até 20cm espessura)</v>
      </c>
      <c r="P56" s="70"/>
      <c r="Q56" s="70"/>
    </row>
    <row r="57" spans="1:17" x14ac:dyDescent="0.25">
      <c r="A57" s="17"/>
      <c r="B57" s="17"/>
      <c r="C57" s="71" t="s">
        <v>17</v>
      </c>
      <c r="D57" s="72" t="s">
        <v>27</v>
      </c>
      <c r="E57" s="17" t="str">
        <v>Espuma expansiva 500ml</v>
      </c>
      <c r="F57" s="63" t="str">
        <v>UN</v>
      </c>
      <c r="G57" s="73">
        <v>0.2</v>
      </c>
      <c r="H57" s="73"/>
      <c r="I57" s="64">
        <v>28</v>
      </c>
      <c r="J57" s="64">
        <v>5.6000000000000005</v>
      </c>
      <c r="K57" s="64" t="str">
        <v/>
      </c>
      <c r="L57" s="74">
        <v>1.35</v>
      </c>
      <c r="M57" s="64">
        <v>7.5600000000000014</v>
      </c>
      <c r="N57" s="64" t="str">
        <v/>
      </c>
      <c r="O57" s="17"/>
      <c r="P57" s="17"/>
      <c r="Q57" s="17"/>
    </row>
    <row r="58" spans="1:17" x14ac:dyDescent="0.25">
      <c r="A58" s="17"/>
      <c r="B58" s="17"/>
      <c r="C58" s="71" t="s">
        <v>17</v>
      </c>
      <c r="D58" s="72" t="s">
        <v>72</v>
      </c>
      <c r="E58" s="17" t="str">
        <v>Massa de calafetar 400g</v>
      </c>
      <c r="F58" s="63" t="str">
        <v>UN</v>
      </c>
      <c r="G58" s="73">
        <v>0.3</v>
      </c>
      <c r="H58" s="73"/>
      <c r="I58" s="64">
        <v>18</v>
      </c>
      <c r="J58" s="64">
        <v>5.3999999999999995</v>
      </c>
      <c r="K58" s="64" t="str">
        <v/>
      </c>
      <c r="L58" s="74">
        <v>1.35</v>
      </c>
      <c r="M58" s="64">
        <v>7.29</v>
      </c>
      <c r="N58" s="64" t="str">
        <v/>
      </c>
      <c r="O58" s="17"/>
      <c r="P58" s="17"/>
      <c r="Q58" s="17"/>
    </row>
    <row r="59" spans="1:17" x14ac:dyDescent="0.25">
      <c r="A59" s="76"/>
      <c r="B59" s="76"/>
      <c r="C59" s="77" t="s">
        <v>32</v>
      </c>
      <c r="D59" s="78" t="s">
        <v>33</v>
      </c>
      <c r="E59" s="76" t="str">
        <v>Técnico em refrigeração</v>
      </c>
      <c r="F59" s="77" t="str">
        <v>H</v>
      </c>
      <c r="G59" s="79">
        <v>0.75</v>
      </c>
      <c r="H59" s="79"/>
      <c r="I59" s="80">
        <v>65</v>
      </c>
      <c r="J59" s="80">
        <v>48.75</v>
      </c>
      <c r="K59" s="80" t="str">
        <v/>
      </c>
      <c r="L59" s="81">
        <v>1.5</v>
      </c>
      <c r="M59" s="80">
        <v>73.125</v>
      </c>
      <c r="N59" s="80" t="str">
        <v/>
      </c>
      <c r="O59" s="76"/>
      <c r="P59" s="76"/>
      <c r="Q59" s="76"/>
    </row>
    <row r="60" spans="1:17" x14ac:dyDescent="0.25">
      <c r="A60" s="76"/>
      <c r="B60" s="76"/>
      <c r="C60" s="77" t="s">
        <v>32</v>
      </c>
      <c r="D60" s="78" t="s">
        <v>34</v>
      </c>
      <c r="E60" s="76" t="str">
        <v>Ajudante de instalação</v>
      </c>
      <c r="F60" s="77" t="str">
        <v>H</v>
      </c>
      <c r="G60" s="79">
        <v>0.75</v>
      </c>
      <c r="H60" s="79"/>
      <c r="I60" s="80">
        <v>35</v>
      </c>
      <c r="J60" s="80">
        <v>26.25</v>
      </c>
      <c r="K60" s="80" t="str">
        <v/>
      </c>
      <c r="L60" s="81">
        <v>1.5</v>
      </c>
      <c r="M60" s="80">
        <v>39.375</v>
      </c>
      <c r="N60" s="80" t="str">
        <v/>
      </c>
      <c r="O60" s="76"/>
      <c r="P60" s="76"/>
      <c r="Q60" s="76"/>
    </row>
    <row r="61" spans="1:17" x14ac:dyDescent="0.25">
      <c r="A61" s="82"/>
      <c r="B61" s="82"/>
      <c r="C61" s="83" t="s">
        <v>35</v>
      </c>
      <c r="D61" s="84" t="s">
        <v>44</v>
      </c>
      <c r="E61" s="82" t="str">
        <v>Perfuratriz/martelete</v>
      </c>
      <c r="F61" s="83" t="str">
        <v>H</v>
      </c>
      <c r="G61" s="85">
        <v>0.5</v>
      </c>
      <c r="H61" s="85"/>
      <c r="I61" s="86">
        <v>0.72</v>
      </c>
      <c r="J61" s="86">
        <v>0.36</v>
      </c>
      <c r="K61" s="86" t="str">
        <v/>
      </c>
      <c r="L61" s="87">
        <v>1.3</v>
      </c>
      <c r="M61" s="86">
        <v>0.46799999999999997</v>
      </c>
      <c r="N61" s="86" t="str">
        <v/>
      </c>
      <c r="O61" s="82"/>
      <c r="P61" s="82"/>
      <c r="Q61" s="82"/>
    </row>
    <row r="62" spans="1:17" x14ac:dyDescent="0.25">
      <c r="A62" s="82"/>
      <c r="B62" s="82"/>
      <c r="C62" s="83" t="s">
        <v>35</v>
      </c>
      <c r="D62" s="84" t="s">
        <v>73</v>
      </c>
      <c r="E62" s="82" t="str">
        <v>Serra copo diamantada 65mm</v>
      </c>
      <c r="F62" s="83" t="str">
        <v>H</v>
      </c>
      <c r="G62" s="85">
        <v>1</v>
      </c>
      <c r="H62" s="85"/>
      <c r="I62" s="86">
        <v>1.2</v>
      </c>
      <c r="J62" s="86">
        <v>1.2</v>
      </c>
      <c r="K62" s="86" t="str">
        <v/>
      </c>
      <c r="L62" s="87">
        <v>1.3</v>
      </c>
      <c r="M62" s="86">
        <v>1.56</v>
      </c>
      <c r="N62" s="86" t="str">
        <v/>
      </c>
      <c r="O62" s="82"/>
      <c r="P62" s="82"/>
      <c r="Q62" s="82"/>
    </row>
    <row r="63" spans="1:17" x14ac:dyDescent="0.25">
      <c r="E63" t="str">
        <v/>
      </c>
      <c r="F63" t="str">
        <v/>
      </c>
      <c r="I63" t="str">
        <v/>
      </c>
      <c r="J63" t="str">
        <v/>
      </c>
      <c r="K63" t="str">
        <v/>
      </c>
      <c r="L63" t="str">
        <v/>
      </c>
      <c r="M63" t="str">
        <v/>
      </c>
      <c r="N63" t="str">
        <v/>
      </c>
    </row>
    <row r="64" spans="1:17" x14ac:dyDescent="0.25">
      <c r="A64" s="66" t="s">
        <v>74</v>
      </c>
      <c r="B64" s="67" t="s">
        <v>75</v>
      </c>
      <c r="C64" s="68"/>
      <c r="D64" s="68"/>
      <c r="E64" s="68" t="str">
        <v/>
      </c>
      <c r="F64" s="68" t="str">
        <v/>
      </c>
      <c r="G64" s="68"/>
      <c r="H64" s="68"/>
      <c r="I64" s="68" t="str">
        <v/>
      </c>
      <c r="J64" s="69">
        <v>0</v>
      </c>
      <c r="K64" s="69">
        <v>38.650000000000006</v>
      </c>
      <c r="L64" s="68" t="str">
        <v/>
      </c>
      <c r="M64" s="69">
        <v>0</v>
      </c>
      <c r="N64" s="69">
        <v>54.615000000000009</v>
      </c>
      <c r="O64" s="68" t="str">
        <f>A64&amp;" - "&amp;B64</f>
        <v>COMP_CAN_50 - Acabamento canaleta PVC 50mm</v>
      </c>
      <c r="P64" s="70" t="s">
        <v>76</v>
      </c>
      <c r="Q64" s="70"/>
    </row>
    <row r="65" spans="1:17" x14ac:dyDescent="0.25">
      <c r="A65" s="17"/>
      <c r="B65" s="17"/>
      <c r="C65" s="71" t="s">
        <v>17</v>
      </c>
      <c r="D65" s="72" t="s">
        <v>77</v>
      </c>
      <c r="E65" s="17" t="str">
        <v>Canaleta PVC 50x50mm</v>
      </c>
      <c r="F65" s="63" t="str">
        <v>M</v>
      </c>
      <c r="G65" s="73"/>
      <c r="H65" s="73">
        <v>1.1000000000000001</v>
      </c>
      <c r="I65" s="64">
        <v>18</v>
      </c>
      <c r="J65" s="64" t="str">
        <v/>
      </c>
      <c r="K65" s="64">
        <v>19.8</v>
      </c>
      <c r="L65" s="74">
        <v>1.35</v>
      </c>
      <c r="M65" s="64" t="str">
        <v/>
      </c>
      <c r="N65" s="64">
        <v>26.730000000000004</v>
      </c>
      <c r="O65" s="17"/>
      <c r="P65" s="17"/>
      <c r="Q65" s="17"/>
    </row>
    <row r="66" spans="1:17" x14ac:dyDescent="0.25">
      <c r="A66" s="17"/>
      <c r="B66" s="17"/>
      <c r="C66" s="71" t="s">
        <v>17</v>
      </c>
      <c r="D66" s="72" t="s">
        <v>25</v>
      </c>
      <c r="E66" s="17" t="str">
        <v>Bucha nylon S10</v>
      </c>
      <c r="F66" s="63" t="str">
        <v>UN</v>
      </c>
      <c r="G66" s="73"/>
      <c r="H66" s="73">
        <v>2</v>
      </c>
      <c r="I66" s="64">
        <v>0.8</v>
      </c>
      <c r="J66" s="64" t="str">
        <v/>
      </c>
      <c r="K66" s="64">
        <v>1.6</v>
      </c>
      <c r="L66" s="74">
        <v>1.35</v>
      </c>
      <c r="M66" s="64" t="str">
        <v/>
      </c>
      <c r="N66" s="64">
        <v>2.16</v>
      </c>
      <c r="O66" s="17"/>
      <c r="P66" s="17"/>
      <c r="Q66" s="17"/>
    </row>
    <row r="67" spans="1:17" x14ac:dyDescent="0.25">
      <c r="A67" s="17"/>
      <c r="B67" s="17"/>
      <c r="C67" s="71" t="s">
        <v>17</v>
      </c>
      <c r="D67" s="72" t="s">
        <v>26</v>
      </c>
      <c r="E67" s="17" t="str">
        <v>Parafuso chipboard 6x60mm</v>
      </c>
      <c r="F67" s="63" t="str">
        <v>UN</v>
      </c>
      <c r="G67" s="73"/>
      <c r="H67" s="73">
        <v>2</v>
      </c>
      <c r="I67" s="64">
        <v>0.5</v>
      </c>
      <c r="J67" s="64" t="str">
        <v/>
      </c>
      <c r="K67" s="64">
        <v>1</v>
      </c>
      <c r="L67" s="74">
        <v>1.35</v>
      </c>
      <c r="M67" s="64" t="str">
        <v/>
      </c>
      <c r="N67" s="64">
        <v>1.35</v>
      </c>
      <c r="O67" s="17"/>
      <c r="P67" s="17"/>
      <c r="Q67" s="17"/>
    </row>
    <row r="68" spans="1:17" x14ac:dyDescent="0.25">
      <c r="A68" s="76"/>
      <c r="B68" s="76"/>
      <c r="C68" s="77" t="s">
        <v>32</v>
      </c>
      <c r="D68" s="78" t="s">
        <v>33</v>
      </c>
      <c r="E68" s="76" t="str">
        <v>Técnico em refrigeração</v>
      </c>
      <c r="F68" s="77" t="str">
        <v>H</v>
      </c>
      <c r="G68" s="79"/>
      <c r="H68" s="79">
        <v>0.25</v>
      </c>
      <c r="I68" s="80">
        <v>65</v>
      </c>
      <c r="J68" s="80" t="str">
        <v/>
      </c>
      <c r="K68" s="80">
        <v>16.25</v>
      </c>
      <c r="L68" s="81">
        <v>1.5</v>
      </c>
      <c r="M68" s="80" t="str">
        <v/>
      </c>
      <c r="N68" s="80">
        <v>24.375</v>
      </c>
      <c r="O68" s="76"/>
      <c r="P68" s="76"/>
      <c r="Q68" s="76"/>
    </row>
    <row r="69" spans="1:17" x14ac:dyDescent="0.25">
      <c r="E69" t="str">
        <v/>
      </c>
      <c r="F69" t="str">
        <v/>
      </c>
      <c r="I69" t="str">
        <v/>
      </c>
      <c r="J69" t="str">
        <v/>
      </c>
      <c r="K69" t="str">
        <v/>
      </c>
      <c r="L69" t="str">
        <v/>
      </c>
      <c r="M69" t="str">
        <v/>
      </c>
      <c r="N69" t="str">
        <v/>
      </c>
    </row>
    <row r="70" spans="1:17" x14ac:dyDescent="0.25">
      <c r="A70" s="66" t="s">
        <v>78</v>
      </c>
      <c r="B70" s="67" t="s">
        <v>79</v>
      </c>
      <c r="C70" s="68"/>
      <c r="D70" s="68"/>
      <c r="E70" s="68" t="str">
        <v/>
      </c>
      <c r="F70" s="68" t="str">
        <v/>
      </c>
      <c r="G70" s="68"/>
      <c r="H70" s="68"/>
      <c r="I70" s="68" t="str">
        <v/>
      </c>
      <c r="J70" s="69">
        <v>80.3</v>
      </c>
      <c r="K70" s="69">
        <v>126.3</v>
      </c>
      <c r="L70" s="68" t="str">
        <v/>
      </c>
      <c r="M70" s="69">
        <v>120.39</v>
      </c>
      <c r="N70" s="69">
        <v>185.49</v>
      </c>
      <c r="O70" s="68" t="str">
        <f>A70&amp;" - "&amp;B70</f>
        <v>COMP_ALV - Abertura e fechamento alvenaria</v>
      </c>
      <c r="P70" s="70" t="s">
        <v>80</v>
      </c>
      <c r="Q70" s="70" t="s">
        <v>81</v>
      </c>
    </row>
    <row r="71" spans="1:17" x14ac:dyDescent="0.25">
      <c r="A71" s="17"/>
      <c r="B71" s="17"/>
      <c r="C71" s="71" t="s">
        <v>17</v>
      </c>
      <c r="D71" s="72" t="s">
        <v>82</v>
      </c>
      <c r="E71" s="17" t="str">
        <v>Argamassa pronta 20kg</v>
      </c>
      <c r="F71" s="63" t="str">
        <v>SC</v>
      </c>
      <c r="G71" s="73"/>
      <c r="H71" s="73">
        <v>0.5</v>
      </c>
      <c r="I71" s="64">
        <v>28</v>
      </c>
      <c r="J71" s="64" t="str">
        <v/>
      </c>
      <c r="K71" s="64">
        <v>14</v>
      </c>
      <c r="L71" s="74">
        <v>1.35</v>
      </c>
      <c r="M71" s="64" t="str">
        <v/>
      </c>
      <c r="N71" s="64">
        <v>18.900000000000002</v>
      </c>
      <c r="O71" s="17"/>
      <c r="P71" s="17"/>
      <c r="Q71" s="17"/>
    </row>
    <row r="72" spans="1:17" x14ac:dyDescent="0.25">
      <c r="A72" s="17"/>
      <c r="B72" s="17"/>
      <c r="C72" s="71" t="s">
        <v>17</v>
      </c>
      <c r="D72" s="72" t="s">
        <v>83</v>
      </c>
      <c r="E72" s="17" t="str">
        <v>Tijolo cerâmico 6 furos</v>
      </c>
      <c r="F72" s="63" t="str">
        <v>UN</v>
      </c>
      <c r="G72" s="73"/>
      <c r="H72" s="73">
        <v>10</v>
      </c>
      <c r="I72" s="64">
        <v>1.2</v>
      </c>
      <c r="J72" s="64" t="str">
        <v/>
      </c>
      <c r="K72" s="64">
        <v>12</v>
      </c>
      <c r="L72" s="74">
        <v>1.35</v>
      </c>
      <c r="M72" s="64" t="str">
        <v/>
      </c>
      <c r="N72" s="64">
        <v>16.200000000000003</v>
      </c>
      <c r="O72" s="17"/>
      <c r="P72" s="17"/>
      <c r="Q72" s="17"/>
    </row>
    <row r="73" spans="1:17" x14ac:dyDescent="0.25">
      <c r="A73" s="76"/>
      <c r="B73" s="76"/>
      <c r="C73" s="77" t="s">
        <v>32</v>
      </c>
      <c r="D73" s="78" t="s">
        <v>84</v>
      </c>
      <c r="E73" s="76" t="str">
        <v>Pedreiro</v>
      </c>
      <c r="F73" s="77" t="str">
        <v>H</v>
      </c>
      <c r="G73" s="79">
        <v>1</v>
      </c>
      <c r="H73" s="79">
        <v>1.25</v>
      </c>
      <c r="I73" s="80">
        <v>50</v>
      </c>
      <c r="J73" s="80">
        <v>50</v>
      </c>
      <c r="K73" s="80">
        <v>62.5</v>
      </c>
      <c r="L73" s="81">
        <v>1.5</v>
      </c>
      <c r="M73" s="80">
        <v>75</v>
      </c>
      <c r="N73" s="80">
        <v>93.75</v>
      </c>
      <c r="O73" s="76"/>
      <c r="P73" s="76"/>
      <c r="Q73" s="76"/>
    </row>
    <row r="74" spans="1:17" x14ac:dyDescent="0.25">
      <c r="A74" s="76"/>
      <c r="B74" s="76"/>
      <c r="C74" s="77" t="s">
        <v>32</v>
      </c>
      <c r="D74" s="78" t="s">
        <v>85</v>
      </c>
      <c r="E74" s="76" t="str">
        <v>Servente de pedreiro</v>
      </c>
      <c r="F74" s="77" t="str">
        <v>H</v>
      </c>
      <c r="G74" s="79">
        <v>1</v>
      </c>
      <c r="H74" s="79">
        <v>1.25</v>
      </c>
      <c r="I74" s="80">
        <v>30</v>
      </c>
      <c r="J74" s="80">
        <v>30</v>
      </c>
      <c r="K74" s="80">
        <v>37.5</v>
      </c>
      <c r="L74" s="81">
        <v>1.5</v>
      </c>
      <c r="M74" s="80">
        <v>45</v>
      </c>
      <c r="N74" s="80">
        <v>56.25</v>
      </c>
      <c r="O74" s="76"/>
      <c r="P74" s="76"/>
      <c r="Q74" s="76"/>
    </row>
    <row r="75" spans="1:17" x14ac:dyDescent="0.25">
      <c r="A75" s="82"/>
      <c r="B75" s="82"/>
      <c r="C75" s="83" t="s">
        <v>35</v>
      </c>
      <c r="D75" s="84" t="s">
        <v>39</v>
      </c>
      <c r="E75" s="82" t="str">
        <v>Ferramentas manuais (conjunto)</v>
      </c>
      <c r="F75" s="83" t="str">
        <v>H</v>
      </c>
      <c r="G75" s="85">
        <v>1</v>
      </c>
      <c r="H75" s="85">
        <v>1</v>
      </c>
      <c r="I75" s="86">
        <v>0.3</v>
      </c>
      <c r="J75" s="86">
        <v>0.3</v>
      </c>
      <c r="K75" s="86">
        <v>0.3</v>
      </c>
      <c r="L75" s="87">
        <v>1.3</v>
      </c>
      <c r="M75" s="86">
        <v>0.39</v>
      </c>
      <c r="N75" s="86">
        <v>0.39</v>
      </c>
      <c r="O75" s="82"/>
      <c r="P75" s="82"/>
      <c r="Q75" s="82"/>
    </row>
    <row r="76" spans="1:17" x14ac:dyDescent="0.25">
      <c r="E76" t="str">
        <v/>
      </c>
      <c r="F76" t="str">
        <v/>
      </c>
      <c r="I76" t="str">
        <v/>
      </c>
      <c r="J76" t="str">
        <v/>
      </c>
      <c r="K76" t="str">
        <v/>
      </c>
      <c r="L76" t="str">
        <v/>
      </c>
      <c r="M76" t="str">
        <v/>
      </c>
      <c r="N76" t="str">
        <v/>
      </c>
    </row>
    <row r="77" spans="1:17" x14ac:dyDescent="0.25">
      <c r="A77" s="66" t="s">
        <v>86</v>
      </c>
      <c r="B77" s="67" t="s">
        <v>87</v>
      </c>
      <c r="C77" s="68"/>
      <c r="D77" s="68"/>
      <c r="E77" s="68" t="str">
        <v/>
      </c>
      <c r="F77" s="68" t="str">
        <v/>
      </c>
      <c r="G77" s="68"/>
      <c r="H77" s="68"/>
      <c r="I77" s="68" t="str">
        <v/>
      </c>
      <c r="J77" s="69">
        <v>405.32000000000005</v>
      </c>
      <c r="K77" s="69">
        <v>0</v>
      </c>
      <c r="L77" s="68" t="str">
        <v/>
      </c>
      <c r="M77" s="69">
        <v>587.61599999999999</v>
      </c>
      <c r="N77" s="69">
        <v>0</v>
      </c>
      <c r="O77" s="68" t="str">
        <f>A77&amp;" - "&amp;B77</f>
        <v>COMP_FACH - Instalação condensadora em fachada (com suporte)</v>
      </c>
      <c r="P77" s="70"/>
      <c r="Q77" s="70"/>
    </row>
    <row r="78" spans="1:17" x14ac:dyDescent="0.25">
      <c r="A78" s="17"/>
      <c r="B78" s="17"/>
      <c r="C78" s="71" t="s">
        <v>17</v>
      </c>
      <c r="D78" s="72" t="s">
        <v>88</v>
      </c>
      <c r="E78" s="17" t="str">
        <v>Suporte mão francesa 500mm (par)</v>
      </c>
      <c r="F78" s="63" t="str">
        <v>PAR</v>
      </c>
      <c r="G78" s="73">
        <v>1</v>
      </c>
      <c r="H78" s="73"/>
      <c r="I78" s="64">
        <v>110</v>
      </c>
      <c r="J78" s="64">
        <v>110</v>
      </c>
      <c r="K78" s="64" t="str">
        <v/>
      </c>
      <c r="L78" s="74">
        <v>1.35</v>
      </c>
      <c r="M78" s="64">
        <v>148.5</v>
      </c>
      <c r="N78" s="64" t="str">
        <v/>
      </c>
      <c r="O78" s="17"/>
      <c r="P78" s="17"/>
      <c r="Q78" s="17"/>
    </row>
    <row r="79" spans="1:17" x14ac:dyDescent="0.25">
      <c r="A79" s="17"/>
      <c r="B79" s="17"/>
      <c r="C79" s="71" t="s">
        <v>17</v>
      </c>
      <c r="D79" s="72" t="s">
        <v>89</v>
      </c>
      <c r="E79" s="17" t="str">
        <v>Parafuso sextavado 3/8"x150mm c/ bucha</v>
      </c>
      <c r="F79" s="63" t="str">
        <v>UN</v>
      </c>
      <c r="G79" s="73">
        <v>4</v>
      </c>
      <c r="H79" s="73"/>
      <c r="I79" s="64">
        <v>6</v>
      </c>
      <c r="J79" s="64">
        <v>24</v>
      </c>
      <c r="K79" s="64" t="str">
        <v/>
      </c>
      <c r="L79" s="74">
        <v>1.35</v>
      </c>
      <c r="M79" s="64">
        <v>32.400000000000006</v>
      </c>
      <c r="N79" s="64" t="str">
        <v/>
      </c>
      <c r="O79" s="17"/>
      <c r="P79" s="17"/>
      <c r="Q79" s="17"/>
    </row>
    <row r="80" spans="1:17" x14ac:dyDescent="0.25">
      <c r="A80" s="76"/>
      <c r="B80" s="76"/>
      <c r="C80" s="77" t="s">
        <v>32</v>
      </c>
      <c r="D80" s="78" t="s">
        <v>33</v>
      </c>
      <c r="E80" s="76" t="str">
        <v>Técnico em refrigeração</v>
      </c>
      <c r="F80" s="77" t="str">
        <v>H</v>
      </c>
      <c r="G80" s="79">
        <v>2</v>
      </c>
      <c r="H80" s="79"/>
      <c r="I80" s="80">
        <v>65</v>
      </c>
      <c r="J80" s="80">
        <v>130</v>
      </c>
      <c r="K80" s="80" t="str">
        <v/>
      </c>
      <c r="L80" s="81">
        <v>1.5</v>
      </c>
      <c r="M80" s="80">
        <v>195</v>
      </c>
      <c r="N80" s="80" t="str">
        <v/>
      </c>
      <c r="O80" s="76"/>
      <c r="P80" s="76"/>
      <c r="Q80" s="76"/>
    </row>
    <row r="81" spans="1:17" x14ac:dyDescent="0.25">
      <c r="A81" s="76"/>
      <c r="B81" s="76"/>
      <c r="C81" s="77" t="s">
        <v>32</v>
      </c>
      <c r="D81" s="78" t="s">
        <v>34</v>
      </c>
      <c r="E81" s="76" t="str">
        <v>Ajudante de instalação</v>
      </c>
      <c r="F81" s="77" t="str">
        <v>H</v>
      </c>
      <c r="G81" s="79">
        <v>2</v>
      </c>
      <c r="H81" s="79"/>
      <c r="I81" s="80">
        <v>35</v>
      </c>
      <c r="J81" s="80">
        <v>70</v>
      </c>
      <c r="K81" s="80" t="str">
        <v/>
      </c>
      <c r="L81" s="81">
        <v>1.5</v>
      </c>
      <c r="M81" s="80">
        <v>105</v>
      </c>
      <c r="N81" s="80" t="str">
        <v/>
      </c>
      <c r="O81" s="76"/>
      <c r="P81" s="76"/>
      <c r="Q81" s="76"/>
    </row>
    <row r="82" spans="1:17" x14ac:dyDescent="0.25">
      <c r="A82" s="76"/>
      <c r="B82" s="76"/>
      <c r="C82" s="77" t="s">
        <v>32</v>
      </c>
      <c r="D82" s="78" t="s">
        <v>90</v>
      </c>
      <c r="E82" s="76" t="str">
        <v>Adicional trabalho fachada</v>
      </c>
      <c r="F82" s="77" t="str">
        <v>H</v>
      </c>
      <c r="G82" s="79">
        <v>2</v>
      </c>
      <c r="H82" s="79"/>
      <c r="I82" s="80">
        <v>35</v>
      </c>
      <c r="J82" s="80">
        <v>70</v>
      </c>
      <c r="K82" s="80" t="str">
        <v/>
      </c>
      <c r="L82" s="81">
        <v>1.5</v>
      </c>
      <c r="M82" s="80">
        <v>105</v>
      </c>
      <c r="N82" s="80" t="str">
        <v/>
      </c>
      <c r="O82" s="76"/>
      <c r="P82" s="76"/>
      <c r="Q82" s="76"/>
    </row>
    <row r="83" spans="1:17" x14ac:dyDescent="0.25">
      <c r="A83" s="82"/>
      <c r="B83" s="82"/>
      <c r="C83" s="83" t="s">
        <v>35</v>
      </c>
      <c r="D83" s="84" t="s">
        <v>44</v>
      </c>
      <c r="E83" s="82" t="str">
        <v>Perfuratriz/martelete</v>
      </c>
      <c r="F83" s="83" t="str">
        <v>H</v>
      </c>
      <c r="G83" s="85">
        <v>1</v>
      </c>
      <c r="H83" s="85"/>
      <c r="I83" s="86">
        <v>0.72</v>
      </c>
      <c r="J83" s="86">
        <v>0.72</v>
      </c>
      <c r="K83" s="86" t="str">
        <v/>
      </c>
      <c r="L83" s="87">
        <v>1.3</v>
      </c>
      <c r="M83" s="86">
        <v>0.93599999999999994</v>
      </c>
      <c r="N83" s="86" t="str">
        <v/>
      </c>
      <c r="O83" s="82"/>
      <c r="P83" s="82"/>
      <c r="Q83" s="82"/>
    </row>
    <row r="84" spans="1:17" x14ac:dyDescent="0.25">
      <c r="A84" s="82"/>
      <c r="B84" s="82"/>
      <c r="C84" s="83" t="s">
        <v>35</v>
      </c>
      <c r="D84" s="84" t="s">
        <v>39</v>
      </c>
      <c r="E84" s="82" t="str">
        <v>Ferramentas manuais (conjunto)</v>
      </c>
      <c r="F84" s="83" t="str">
        <v>H</v>
      </c>
      <c r="G84" s="85">
        <v>2</v>
      </c>
      <c r="H84" s="85"/>
      <c r="I84" s="86">
        <v>0.3</v>
      </c>
      <c r="J84" s="86">
        <v>0.6</v>
      </c>
      <c r="K84" s="86" t="str">
        <v/>
      </c>
      <c r="L84" s="87">
        <v>1.3</v>
      </c>
      <c r="M84" s="86">
        <v>0.78</v>
      </c>
      <c r="N84" s="86" t="str">
        <v/>
      </c>
      <c r="O84" s="82"/>
      <c r="P84" s="82"/>
      <c r="Q84" s="82"/>
    </row>
    <row r="85" spans="1:17" x14ac:dyDescent="0.25">
      <c r="E85" t="str">
        <v/>
      </c>
      <c r="F85" t="str">
        <v/>
      </c>
      <c r="I85" t="str">
        <v/>
      </c>
      <c r="J85" t="str">
        <v/>
      </c>
      <c r="K85" t="str">
        <v/>
      </c>
      <c r="L85" t="str">
        <v/>
      </c>
      <c r="M85" t="str">
        <v/>
      </c>
      <c r="N85" t="str">
        <v/>
      </c>
    </row>
    <row r="86" spans="1:17" x14ac:dyDescent="0.25">
      <c r="A86" s="66" t="s">
        <v>91</v>
      </c>
      <c r="B86" s="67" t="s">
        <v>92</v>
      </c>
      <c r="C86" s="68"/>
      <c r="D86" s="68"/>
      <c r="E86" s="68" t="str">
        <v/>
      </c>
      <c r="F86" s="68" t="str">
        <v/>
      </c>
      <c r="G86" s="68"/>
      <c r="H86" s="68"/>
      <c r="I86" s="68" t="str">
        <v/>
      </c>
      <c r="J86" s="69">
        <v>50.533333333333331</v>
      </c>
      <c r="K86" s="69">
        <v>0</v>
      </c>
      <c r="L86" s="68" t="str">
        <v/>
      </c>
      <c r="M86" s="69">
        <v>75.693333333333328</v>
      </c>
      <c r="N86" s="69">
        <v>0</v>
      </c>
      <c r="O86" s="68" t="str">
        <f>A86&amp;" - "&amp;B86</f>
        <v>COMP_ALT - Adicional trabalho em altura (acima 3m)</v>
      </c>
      <c r="P86" s="70"/>
      <c r="Q86" s="70"/>
    </row>
    <row r="87" spans="1:17" x14ac:dyDescent="0.25">
      <c r="A87" s="76"/>
      <c r="B87" s="76"/>
      <c r="C87" s="77" t="s">
        <v>32</v>
      </c>
      <c r="D87" s="78" t="s">
        <v>93</v>
      </c>
      <c r="E87" s="76" t="str">
        <v>Adicional trabalho em altura (&gt;3m)</v>
      </c>
      <c r="F87" s="77" t="str">
        <v>H</v>
      </c>
      <c r="G87" s="79">
        <v>2</v>
      </c>
      <c r="H87" s="79"/>
      <c r="I87" s="80">
        <v>25</v>
      </c>
      <c r="J87" s="80">
        <v>50</v>
      </c>
      <c r="K87" s="80" t="str">
        <v/>
      </c>
      <c r="L87" s="81">
        <v>1.5</v>
      </c>
      <c r="M87" s="80">
        <v>75</v>
      </c>
      <c r="N87" s="80" t="str">
        <v/>
      </c>
      <c r="O87" s="76"/>
      <c r="P87" s="76"/>
      <c r="Q87" s="76"/>
    </row>
    <row r="88" spans="1:17" x14ac:dyDescent="0.25">
      <c r="A88" s="82"/>
      <c r="B88" s="82"/>
      <c r="C88" s="83" t="s">
        <v>35</v>
      </c>
      <c r="D88" s="84" t="s">
        <v>94</v>
      </c>
      <c r="E88" s="82" t="str">
        <v>Escada extensível 6m</v>
      </c>
      <c r="F88" s="83" t="str">
        <v>H</v>
      </c>
      <c r="G88" s="85">
        <v>2</v>
      </c>
      <c r="H88" s="85"/>
      <c r="I88" s="86">
        <v>0.26666666666666666</v>
      </c>
      <c r="J88" s="86">
        <v>0.53333333333333333</v>
      </c>
      <c r="K88" s="86" t="str">
        <v/>
      </c>
      <c r="L88" s="87">
        <v>1.3</v>
      </c>
      <c r="M88" s="86">
        <v>0.69333333333333336</v>
      </c>
      <c r="N88" s="86" t="str">
        <v/>
      </c>
      <c r="O88" s="82"/>
      <c r="P88" s="82"/>
      <c r="Q88" s="82"/>
    </row>
    <row r="89" spans="1:17" x14ac:dyDescent="0.25">
      <c r="E89" t="str">
        <v/>
      </c>
      <c r="F89" t="str">
        <v/>
      </c>
      <c r="I89" t="str">
        <v/>
      </c>
      <c r="J89" t="str">
        <v/>
      </c>
      <c r="K89" t="str">
        <v/>
      </c>
      <c r="L89" t="str">
        <v/>
      </c>
      <c r="M89" t="str">
        <v/>
      </c>
      <c r="N89" t="str">
        <v/>
      </c>
    </row>
    <row r="90" spans="1:17" x14ac:dyDescent="0.25">
      <c r="A90" s="66" t="s">
        <v>95</v>
      </c>
      <c r="B90" s="67" t="s">
        <v>96</v>
      </c>
      <c r="C90" s="68"/>
      <c r="D90" s="68"/>
      <c r="E90" s="68" t="str">
        <v/>
      </c>
      <c r="F90" s="68" t="str">
        <v/>
      </c>
      <c r="G90" s="68"/>
      <c r="H90" s="68"/>
      <c r="I90" s="68" t="str">
        <v/>
      </c>
      <c r="J90" s="69">
        <v>393.8</v>
      </c>
      <c r="K90" s="69">
        <v>0</v>
      </c>
      <c r="L90" s="68" t="str">
        <v/>
      </c>
      <c r="M90" s="69">
        <v>493.38</v>
      </c>
      <c r="N90" s="69">
        <v>0</v>
      </c>
      <c r="O90" s="68" t="str">
        <f>A90&amp;" - "&amp;B90</f>
        <v>COMP_BOMB_DRN - Instalação bomba de dreno</v>
      </c>
      <c r="P90" s="70"/>
      <c r="Q90" s="70"/>
    </row>
    <row r="91" spans="1:17" x14ac:dyDescent="0.25">
      <c r="A91" s="88"/>
      <c r="B91" s="88"/>
      <c r="C91" s="89" t="s">
        <v>97</v>
      </c>
      <c r="D91" s="90" t="s">
        <v>98</v>
      </c>
      <c r="E91" s="88" t="str">
        <v>Bomba dreno mini (até 12.000 BTUs)</v>
      </c>
      <c r="F91" s="89" t="str">
        <v>UN</v>
      </c>
      <c r="G91" s="91">
        <v>1</v>
      </c>
      <c r="H91" s="91"/>
      <c r="I91" s="92">
        <v>320</v>
      </c>
      <c r="J91" s="92">
        <v>320</v>
      </c>
      <c r="K91" s="92" t="str">
        <v/>
      </c>
      <c r="L91" s="93">
        <v>1.2</v>
      </c>
      <c r="M91" s="92">
        <v>384</v>
      </c>
      <c r="N91" s="92" t="str">
        <v/>
      </c>
      <c r="O91" s="88"/>
      <c r="P91" s="88"/>
      <c r="Q91" s="88"/>
    </row>
    <row r="92" spans="1:17" x14ac:dyDescent="0.25">
      <c r="A92" s="17"/>
      <c r="B92" s="17"/>
      <c r="C92" s="71" t="s">
        <v>17</v>
      </c>
      <c r="D92" s="72" t="s">
        <v>61</v>
      </c>
      <c r="E92" s="17" t="str">
        <v>Mangueira cristal 3/4"</v>
      </c>
      <c r="F92" s="63" t="str">
        <v>M</v>
      </c>
      <c r="G92" s="73">
        <v>2</v>
      </c>
      <c r="H92" s="73"/>
      <c r="I92" s="64">
        <v>4</v>
      </c>
      <c r="J92" s="64">
        <v>8</v>
      </c>
      <c r="K92" s="64" t="str">
        <v/>
      </c>
      <c r="L92" s="74">
        <v>1.35</v>
      </c>
      <c r="M92" s="64">
        <v>10.8</v>
      </c>
      <c r="N92" s="64" t="str">
        <v/>
      </c>
      <c r="O92" s="17"/>
      <c r="P92" s="17"/>
      <c r="Q92" s="17"/>
    </row>
    <row r="93" spans="1:17" x14ac:dyDescent="0.25">
      <c r="A93" s="17"/>
      <c r="B93" s="17"/>
      <c r="C93" s="71" t="s">
        <v>17</v>
      </c>
      <c r="D93" s="72" t="s">
        <v>28</v>
      </c>
      <c r="E93" s="17" t="str">
        <v>Fita isolante preta 20m</v>
      </c>
      <c r="F93" s="63" t="str">
        <v>UN</v>
      </c>
      <c r="G93" s="73">
        <v>0.1</v>
      </c>
      <c r="H93" s="73"/>
      <c r="I93" s="64">
        <v>8</v>
      </c>
      <c r="J93" s="64">
        <v>0.8</v>
      </c>
      <c r="K93" s="64" t="str">
        <v/>
      </c>
      <c r="L93" s="74">
        <v>1.35</v>
      </c>
      <c r="M93" s="64">
        <v>1.08</v>
      </c>
      <c r="N93" s="64" t="str">
        <v/>
      </c>
      <c r="O93" s="17"/>
      <c r="P93" s="17"/>
      <c r="Q93" s="17"/>
    </row>
    <row r="94" spans="1:17" x14ac:dyDescent="0.25">
      <c r="A94" s="76"/>
      <c r="B94" s="76"/>
      <c r="C94" s="77" t="s">
        <v>32</v>
      </c>
      <c r="D94" s="78" t="s">
        <v>33</v>
      </c>
      <c r="E94" s="76" t="str">
        <v>Técnico em refrigeração</v>
      </c>
      <c r="F94" s="77" t="str">
        <v>H</v>
      </c>
      <c r="G94" s="79">
        <v>1</v>
      </c>
      <c r="H94" s="79"/>
      <c r="I94" s="80">
        <v>65</v>
      </c>
      <c r="J94" s="80">
        <v>65</v>
      </c>
      <c r="K94" s="80" t="str">
        <v/>
      </c>
      <c r="L94" s="81">
        <v>1.5</v>
      </c>
      <c r="M94" s="80">
        <v>97.5</v>
      </c>
      <c r="N94" s="80" t="str">
        <v/>
      </c>
      <c r="O94" s="76"/>
      <c r="P94" s="76"/>
      <c r="Q94" s="76"/>
    </row>
    <row r="95" spans="1:17" x14ac:dyDescent="0.25">
      <c r="E95" t="str">
        <v/>
      </c>
      <c r="F95" t="str">
        <v/>
      </c>
      <c r="I95" t="str">
        <v/>
      </c>
      <c r="J95" t="str">
        <v/>
      </c>
      <c r="K95" t="str">
        <v/>
      </c>
      <c r="L95" t="str">
        <v/>
      </c>
      <c r="M95" t="str">
        <v/>
      </c>
      <c r="N95" t="str">
        <v/>
      </c>
    </row>
    <row r="96" spans="1:17" x14ac:dyDescent="0.25">
      <c r="A96" s="66" t="s">
        <v>99</v>
      </c>
      <c r="B96" s="67" t="s">
        <v>100</v>
      </c>
      <c r="C96" s="68"/>
      <c r="D96" s="68"/>
      <c r="E96" s="68" t="str">
        <v/>
      </c>
      <c r="F96" s="68" t="str">
        <v/>
      </c>
      <c r="G96" s="68"/>
      <c r="H96" s="68"/>
      <c r="I96" s="68" t="str">
        <v/>
      </c>
      <c r="J96" s="69">
        <v>84.737499999999997</v>
      </c>
      <c r="K96" s="69">
        <v>0</v>
      </c>
      <c r="L96" s="68" t="str">
        <v/>
      </c>
      <c r="M96" s="69">
        <v>122.64375</v>
      </c>
      <c r="N96" s="69">
        <v>0</v>
      </c>
      <c r="O96" s="68" t="str">
        <f>A96&amp;" - "&amp;B96</f>
        <v>COMP_DISJ - Instalação disjuntor no QDC</v>
      </c>
      <c r="P96" s="70"/>
      <c r="Q96" s="70"/>
    </row>
    <row r="97" spans="1:17" x14ac:dyDescent="0.25">
      <c r="A97" s="17"/>
      <c r="B97" s="17"/>
      <c r="C97" s="71" t="s">
        <v>17</v>
      </c>
      <c r="D97" s="72" t="s">
        <v>101</v>
      </c>
      <c r="E97" s="17" t="str">
        <v>Disjuntor monopolar 16A</v>
      </c>
      <c r="F97" s="63" t="str">
        <v>UN</v>
      </c>
      <c r="G97" s="73">
        <v>1</v>
      </c>
      <c r="H97" s="73"/>
      <c r="I97" s="64">
        <v>18</v>
      </c>
      <c r="J97" s="64">
        <v>18</v>
      </c>
      <c r="K97" s="64" t="str">
        <v/>
      </c>
      <c r="L97" s="74">
        <v>1.35</v>
      </c>
      <c r="M97" s="64">
        <v>24.3</v>
      </c>
      <c r="N97" s="64" t="str">
        <v/>
      </c>
      <c r="O97" s="17"/>
      <c r="P97" s="17"/>
      <c r="Q97" s="17"/>
    </row>
    <row r="98" spans="1:17" x14ac:dyDescent="0.25">
      <c r="A98" s="17"/>
      <c r="B98" s="17"/>
      <c r="C98" s="71" t="s">
        <v>17</v>
      </c>
      <c r="D98" s="72" t="s">
        <v>102</v>
      </c>
      <c r="E98" s="17" t="str">
        <v>Cabo flexível 2,5mm² (fase/neutro/terra)</v>
      </c>
      <c r="F98" s="63" t="str">
        <v>M</v>
      </c>
      <c r="G98" s="73">
        <v>3</v>
      </c>
      <c r="H98" s="73"/>
      <c r="I98" s="64">
        <v>3.5</v>
      </c>
      <c r="J98" s="64">
        <v>10.5</v>
      </c>
      <c r="K98" s="64" t="str">
        <v/>
      </c>
      <c r="L98" s="74">
        <v>1.35</v>
      </c>
      <c r="M98" s="64">
        <v>14.175000000000001</v>
      </c>
      <c r="N98" s="64" t="str">
        <v/>
      </c>
      <c r="O98" s="17"/>
      <c r="P98" s="17"/>
      <c r="Q98" s="17"/>
    </row>
    <row r="99" spans="1:17" x14ac:dyDescent="0.25">
      <c r="A99" s="17"/>
      <c r="B99" s="17"/>
      <c r="C99" s="71" t="s">
        <v>17</v>
      </c>
      <c r="D99" s="72" t="s">
        <v>28</v>
      </c>
      <c r="E99" s="17" t="str">
        <v>Fita isolante preta 20m</v>
      </c>
      <c r="F99" s="63" t="str">
        <v>UN</v>
      </c>
      <c r="G99" s="73">
        <v>0.15</v>
      </c>
      <c r="H99" s="73"/>
      <c r="I99" s="64">
        <v>8</v>
      </c>
      <c r="J99" s="64">
        <v>1.2</v>
      </c>
      <c r="K99" s="64" t="str">
        <v/>
      </c>
      <c r="L99" s="74">
        <v>1.35</v>
      </c>
      <c r="M99" s="64">
        <v>1.62</v>
      </c>
      <c r="N99" s="64" t="str">
        <v/>
      </c>
      <c r="O99" s="17"/>
      <c r="P99" s="17"/>
      <c r="Q99" s="17"/>
    </row>
    <row r="100" spans="1:17" x14ac:dyDescent="0.25">
      <c r="A100" s="76"/>
      <c r="B100" s="76"/>
      <c r="C100" s="77" t="s">
        <v>32</v>
      </c>
      <c r="D100" s="78" t="s">
        <v>56</v>
      </c>
      <c r="E100" s="76" t="str">
        <v>Eletricista</v>
      </c>
      <c r="F100" s="77" t="str">
        <v>H</v>
      </c>
      <c r="G100" s="79">
        <v>1</v>
      </c>
      <c r="H100" s="79"/>
      <c r="I100" s="80">
        <v>55</v>
      </c>
      <c r="J100" s="80">
        <v>55</v>
      </c>
      <c r="K100" s="80" t="str">
        <v/>
      </c>
      <c r="L100" s="81">
        <v>1.5</v>
      </c>
      <c r="M100" s="80">
        <v>82.5</v>
      </c>
      <c r="N100" s="80" t="str">
        <v/>
      </c>
      <c r="O100" s="76"/>
      <c r="P100" s="76"/>
      <c r="Q100" s="76"/>
    </row>
    <row r="101" spans="1:17" x14ac:dyDescent="0.25">
      <c r="A101" s="82"/>
      <c r="B101" s="82"/>
      <c r="C101" s="83" t="s">
        <v>35</v>
      </c>
      <c r="D101" s="84" t="s">
        <v>57</v>
      </c>
      <c r="E101" s="82" t="str">
        <v>Multímetro/alicate amperímetro</v>
      </c>
      <c r="F101" s="83" t="str">
        <v>H</v>
      </c>
      <c r="G101" s="85">
        <v>0.25</v>
      </c>
      <c r="H101" s="85"/>
      <c r="I101" s="86">
        <v>0.15</v>
      </c>
      <c r="J101" s="86">
        <v>3.7499999999999999E-2</v>
      </c>
      <c r="K101" s="86" t="str">
        <v/>
      </c>
      <c r="L101" s="87">
        <v>1.3</v>
      </c>
      <c r="M101" s="86">
        <v>4.8750000000000002E-2</v>
      </c>
      <c r="N101" s="86" t="str">
        <v/>
      </c>
      <c r="O101" s="82"/>
      <c r="P101" s="82"/>
      <c r="Q101" s="82"/>
    </row>
    <row r="102" spans="1:17" x14ac:dyDescent="0.25">
      <c r="E102" t="str">
        <v/>
      </c>
      <c r="F102" t="str">
        <v/>
      </c>
      <c r="I102" t="str">
        <v/>
      </c>
      <c r="J102" t="str">
        <v/>
      </c>
      <c r="K102" t="str">
        <v/>
      </c>
      <c r="L102" t="str">
        <v/>
      </c>
      <c r="M102" t="str">
        <v/>
      </c>
      <c r="N102" t="str">
        <v/>
      </c>
    </row>
    <row r="103" spans="1:17" x14ac:dyDescent="0.25">
      <c r="A103" s="66" t="s">
        <v>103</v>
      </c>
      <c r="B103" s="67" t="s">
        <v>104</v>
      </c>
      <c r="C103" s="68"/>
      <c r="D103" s="68"/>
      <c r="E103" s="68" t="str">
        <v/>
      </c>
      <c r="F103" s="68" t="str">
        <v/>
      </c>
      <c r="G103" s="68"/>
      <c r="H103" s="68"/>
      <c r="I103" s="68" t="str">
        <v/>
      </c>
      <c r="J103" s="69">
        <v>77.650000000000006</v>
      </c>
      <c r="K103" s="69">
        <v>0</v>
      </c>
      <c r="L103" s="68" t="str">
        <v/>
      </c>
      <c r="M103" s="69">
        <v>112.14</v>
      </c>
      <c r="N103" s="69">
        <v>0</v>
      </c>
      <c r="O103" s="68" t="str">
        <f>A103&amp;" - "&amp;B103</f>
        <v>COMP_DRN_ESG - Conexão dreno em rede esgoto (com sifão)</v>
      </c>
      <c r="P103" s="70"/>
      <c r="Q103" s="70"/>
    </row>
    <row r="104" spans="1:17" x14ac:dyDescent="0.25">
      <c r="A104" s="17"/>
      <c r="B104" s="17"/>
      <c r="C104" s="71" t="s">
        <v>17</v>
      </c>
      <c r="D104" s="72" t="s">
        <v>66</v>
      </c>
      <c r="E104" s="17" t="str">
        <v>Tubo PVC esgoto 25mm</v>
      </c>
      <c r="F104" s="63" t="str">
        <v>M</v>
      </c>
      <c r="G104" s="73">
        <v>1</v>
      </c>
      <c r="H104" s="73"/>
      <c r="I104" s="64">
        <v>8</v>
      </c>
      <c r="J104" s="64">
        <v>8</v>
      </c>
      <c r="K104" s="64" t="str">
        <v/>
      </c>
      <c r="L104" s="74">
        <v>1.35</v>
      </c>
      <c r="M104" s="64">
        <v>10.8</v>
      </c>
      <c r="N104" s="64" t="str">
        <v/>
      </c>
      <c r="O104" s="17"/>
      <c r="P104" s="17"/>
      <c r="Q104" s="17"/>
    </row>
    <row r="105" spans="1:17" x14ac:dyDescent="0.25">
      <c r="A105" s="17"/>
      <c r="B105" s="17"/>
      <c r="C105" s="71" t="s">
        <v>17</v>
      </c>
      <c r="D105" s="72" t="s">
        <v>105</v>
      </c>
      <c r="E105" s="17" t="str">
        <v>Sifão sanfonado universal</v>
      </c>
      <c r="F105" s="63" t="str">
        <v>UN</v>
      </c>
      <c r="G105" s="73">
        <v>1</v>
      </c>
      <c r="H105" s="73"/>
      <c r="I105" s="64">
        <v>15</v>
      </c>
      <c r="J105" s="64">
        <v>15</v>
      </c>
      <c r="K105" s="64" t="str">
        <v/>
      </c>
      <c r="L105" s="74">
        <v>1.35</v>
      </c>
      <c r="M105" s="64">
        <v>20.25</v>
      </c>
      <c r="N105" s="64" t="str">
        <v/>
      </c>
      <c r="O105" s="17"/>
      <c r="P105" s="17"/>
      <c r="Q105" s="17"/>
    </row>
    <row r="106" spans="1:17" x14ac:dyDescent="0.25">
      <c r="A106" s="17"/>
      <c r="B106" s="17"/>
      <c r="C106" s="71" t="s">
        <v>17</v>
      </c>
      <c r="D106" s="72" t="s">
        <v>67</v>
      </c>
      <c r="E106" s="17" t="str">
        <v>Curva 90° PVC 25mm</v>
      </c>
      <c r="F106" s="63" t="str">
        <v>UN</v>
      </c>
      <c r="G106" s="73">
        <v>1</v>
      </c>
      <c r="H106" s="73"/>
      <c r="I106" s="64">
        <v>3.5</v>
      </c>
      <c r="J106" s="64">
        <v>3.5</v>
      </c>
      <c r="K106" s="64" t="str">
        <v/>
      </c>
      <c r="L106" s="74">
        <v>1.35</v>
      </c>
      <c r="M106" s="64">
        <v>4.7250000000000005</v>
      </c>
      <c r="N106" s="64" t="str">
        <v/>
      </c>
      <c r="O106" s="17"/>
      <c r="P106" s="17"/>
      <c r="Q106" s="17"/>
    </row>
    <row r="107" spans="1:17" x14ac:dyDescent="0.25">
      <c r="A107" s="17"/>
      <c r="B107" s="17"/>
      <c r="C107" s="71" t="s">
        <v>17</v>
      </c>
      <c r="D107" s="72" t="s">
        <v>69</v>
      </c>
      <c r="E107" s="17" t="str">
        <v>Cola PVC (tubo 75g)</v>
      </c>
      <c r="F107" s="63" t="str">
        <v>UN</v>
      </c>
      <c r="G107" s="73">
        <v>0.2</v>
      </c>
      <c r="H107" s="73"/>
      <c r="I107" s="64">
        <v>12</v>
      </c>
      <c r="J107" s="64">
        <v>2.4000000000000004</v>
      </c>
      <c r="K107" s="64" t="str">
        <v/>
      </c>
      <c r="L107" s="74">
        <v>1.35</v>
      </c>
      <c r="M107" s="64">
        <v>3.2400000000000007</v>
      </c>
      <c r="N107" s="64" t="str">
        <v/>
      </c>
      <c r="O107" s="17"/>
      <c r="P107" s="17"/>
      <c r="Q107" s="17"/>
    </row>
    <row r="108" spans="1:17" x14ac:dyDescent="0.25">
      <c r="A108" s="76"/>
      <c r="B108" s="76"/>
      <c r="C108" s="77" t="s">
        <v>32</v>
      </c>
      <c r="D108" s="78" t="s">
        <v>33</v>
      </c>
      <c r="E108" s="76" t="str">
        <v>Técnico em refrigeração</v>
      </c>
      <c r="F108" s="77" t="str">
        <v>H</v>
      </c>
      <c r="G108" s="79">
        <v>0.75</v>
      </c>
      <c r="H108" s="79"/>
      <c r="I108" s="80">
        <v>65</v>
      </c>
      <c r="J108" s="80">
        <v>48.75</v>
      </c>
      <c r="K108" s="80" t="str">
        <v/>
      </c>
      <c r="L108" s="81">
        <v>1.5</v>
      </c>
      <c r="M108" s="80">
        <v>73.125</v>
      </c>
      <c r="N108" s="80" t="str">
        <v/>
      </c>
      <c r="O108" s="76"/>
      <c r="P108" s="76"/>
      <c r="Q108" s="76"/>
    </row>
    <row r="109" spans="1:17" x14ac:dyDescent="0.25">
      <c r="E109" t="str">
        <v/>
      </c>
      <c r="F109" t="str">
        <v/>
      </c>
      <c r="I109" t="str">
        <v/>
      </c>
      <c r="J109" t="str">
        <v/>
      </c>
      <c r="K109" t="str">
        <v/>
      </c>
      <c r="L109" t="str">
        <v/>
      </c>
      <c r="M109" t="str">
        <v/>
      </c>
      <c r="N109" t="str">
        <v/>
      </c>
    </row>
    <row r="110" spans="1:17" x14ac:dyDescent="0.25">
      <c r="A110" s="66" t="s">
        <v>106</v>
      </c>
      <c r="B110" s="67" t="s">
        <v>107</v>
      </c>
      <c r="C110" s="68"/>
      <c r="D110" s="68"/>
      <c r="E110" s="68" t="str">
        <v/>
      </c>
      <c r="F110" s="68" t="str">
        <v/>
      </c>
      <c r="G110" s="68"/>
      <c r="H110" s="68"/>
      <c r="I110" s="68" t="str">
        <v/>
      </c>
      <c r="J110" s="69">
        <v>150.58333333333331</v>
      </c>
      <c r="K110" s="69">
        <v>0</v>
      </c>
      <c r="L110" s="68" t="str">
        <v/>
      </c>
      <c r="M110" s="69">
        <v>225.75833333333335</v>
      </c>
      <c r="N110" s="69">
        <v>0</v>
      </c>
      <c r="O110" s="68" t="str">
        <f>A110&amp;" - "&amp;B110</f>
        <v>COMP_DESINST - Desinstalação de equipamento Split</v>
      </c>
      <c r="P110" s="70"/>
      <c r="Q110" s="70"/>
    </row>
    <row r="111" spans="1:17" x14ac:dyDescent="0.25">
      <c r="A111" s="76"/>
      <c r="B111" s="76"/>
      <c r="C111" s="77" t="s">
        <v>32</v>
      </c>
      <c r="D111" s="78" t="s">
        <v>33</v>
      </c>
      <c r="E111" s="76" t="str">
        <v>Técnico em refrigeração</v>
      </c>
      <c r="F111" s="77" t="str">
        <v>H</v>
      </c>
      <c r="G111" s="79">
        <v>1.5</v>
      </c>
      <c r="H111" s="79"/>
      <c r="I111" s="80">
        <v>65</v>
      </c>
      <c r="J111" s="80">
        <v>97.5</v>
      </c>
      <c r="K111" s="80" t="str">
        <v/>
      </c>
      <c r="L111" s="81">
        <v>1.5</v>
      </c>
      <c r="M111" s="80">
        <v>146.25</v>
      </c>
      <c r="N111" s="80" t="str">
        <v/>
      </c>
      <c r="O111" s="76"/>
      <c r="P111" s="76"/>
      <c r="Q111" s="76"/>
    </row>
    <row r="112" spans="1:17" x14ac:dyDescent="0.25">
      <c r="A112" s="76"/>
      <c r="B112" s="76"/>
      <c r="C112" s="77" t="s">
        <v>32</v>
      </c>
      <c r="D112" s="78" t="s">
        <v>34</v>
      </c>
      <c r="E112" s="76" t="str">
        <v>Ajudante de instalação</v>
      </c>
      <c r="F112" s="77" t="str">
        <v>H</v>
      </c>
      <c r="G112" s="79">
        <v>1.5</v>
      </c>
      <c r="H112" s="79"/>
      <c r="I112" s="80">
        <v>35</v>
      </c>
      <c r="J112" s="80">
        <v>52.5</v>
      </c>
      <c r="K112" s="80" t="str">
        <v/>
      </c>
      <c r="L112" s="81">
        <v>1.5</v>
      </c>
      <c r="M112" s="80">
        <v>78.75</v>
      </c>
      <c r="N112" s="80" t="str">
        <v/>
      </c>
      <c r="O112" s="76"/>
      <c r="P112" s="76"/>
      <c r="Q112" s="76"/>
    </row>
    <row r="113" spans="1:17" x14ac:dyDescent="0.25">
      <c r="A113" s="82"/>
      <c r="B113" s="82"/>
      <c r="C113" s="83" t="s">
        <v>35</v>
      </c>
      <c r="D113" s="84" t="s">
        <v>37</v>
      </c>
      <c r="E113" s="82" t="str">
        <v>Manifold digital</v>
      </c>
      <c r="F113" s="83" t="str">
        <v>H</v>
      </c>
      <c r="G113" s="85">
        <v>0.5</v>
      </c>
      <c r="H113" s="85"/>
      <c r="I113" s="86">
        <v>0.26666666666666666</v>
      </c>
      <c r="J113" s="86">
        <v>0.13333333333333333</v>
      </c>
      <c r="K113" s="86" t="str">
        <v/>
      </c>
      <c r="L113" s="87">
        <v>1.3</v>
      </c>
      <c r="M113" s="86">
        <v>0.17333333333333334</v>
      </c>
      <c r="N113" s="86" t="str">
        <v/>
      </c>
      <c r="O113" s="82"/>
      <c r="P113" s="82"/>
      <c r="Q113" s="82"/>
    </row>
    <row r="114" spans="1:17" x14ac:dyDescent="0.25">
      <c r="A114" s="82"/>
      <c r="B114" s="82"/>
      <c r="C114" s="83" t="s">
        <v>35</v>
      </c>
      <c r="D114" s="84" t="s">
        <v>39</v>
      </c>
      <c r="E114" s="82" t="str">
        <v>Ferramentas manuais (conjunto)</v>
      </c>
      <c r="F114" s="83" t="str">
        <v>H</v>
      </c>
      <c r="G114" s="85">
        <v>1.5</v>
      </c>
      <c r="H114" s="85"/>
      <c r="I114" s="86">
        <v>0.3</v>
      </c>
      <c r="J114" s="86">
        <v>0.44999999999999996</v>
      </c>
      <c r="K114" s="86" t="str">
        <v/>
      </c>
      <c r="L114" s="87">
        <v>1.3</v>
      </c>
      <c r="M114" s="86">
        <v>0.58499999999999996</v>
      </c>
      <c r="N114" s="86" t="str">
        <v/>
      </c>
      <c r="O114" s="82"/>
      <c r="P114" s="82"/>
      <c r="Q114" s="82"/>
    </row>
    <row r="115" spans="1:17" x14ac:dyDescent="0.25">
      <c r="E115" t="str">
        <v/>
      </c>
      <c r="F115" t="str">
        <v/>
      </c>
      <c r="I115" t="str">
        <v/>
      </c>
      <c r="J115" t="str">
        <v/>
      </c>
      <c r="K115" t="str">
        <v/>
      </c>
      <c r="L115" t="str">
        <v/>
      </c>
      <c r="M115" t="str">
        <v/>
      </c>
      <c r="N115" t="str">
        <v/>
      </c>
    </row>
    <row r="116" spans="1:17" x14ac:dyDescent="0.25">
      <c r="A116" s="66" t="s">
        <v>108</v>
      </c>
      <c r="B116" s="67" t="s">
        <v>109</v>
      </c>
      <c r="C116" s="68"/>
      <c r="D116" s="68"/>
      <c r="E116" s="68" t="str">
        <v/>
      </c>
      <c r="F116" s="68" t="str">
        <v/>
      </c>
      <c r="G116" s="68"/>
      <c r="H116" s="68"/>
      <c r="I116" s="68" t="str">
        <v/>
      </c>
      <c r="J116" s="69">
        <v>127.59466666666667</v>
      </c>
      <c r="K116" s="69">
        <v>0</v>
      </c>
      <c r="L116" s="68" t="str">
        <v/>
      </c>
      <c r="M116" s="69">
        <v>177.12306666666666</v>
      </c>
      <c r="N116" s="69">
        <v>0</v>
      </c>
      <c r="O116" s="68" t="str">
        <f>A116&amp;" - "&amp;B116</f>
        <v>COMP_GAS_ADIC - Carga adicional gás R-410A (por kg)</v>
      </c>
      <c r="P116" s="70"/>
      <c r="Q116" s="70"/>
    </row>
    <row r="117" spans="1:17" x14ac:dyDescent="0.25">
      <c r="A117" s="17"/>
      <c r="B117" s="17"/>
      <c r="C117" s="71" t="s">
        <v>17</v>
      </c>
      <c r="D117" s="72" t="s">
        <v>110</v>
      </c>
      <c r="E117" s="17" t="str">
        <v>Gás refrigerante R-410A</v>
      </c>
      <c r="F117" s="63" t="str">
        <v>KG</v>
      </c>
      <c r="G117" s="73">
        <v>1</v>
      </c>
      <c r="H117" s="73"/>
      <c r="I117" s="64">
        <v>95</v>
      </c>
      <c r="J117" s="64">
        <v>95</v>
      </c>
      <c r="K117" s="64" t="str">
        <v/>
      </c>
      <c r="L117" s="74">
        <v>1.35</v>
      </c>
      <c r="M117" s="64">
        <v>128.25</v>
      </c>
      <c r="N117" s="64" t="str">
        <v/>
      </c>
      <c r="O117" s="17"/>
      <c r="P117" s="17"/>
      <c r="Q117" s="17"/>
    </row>
    <row r="118" spans="1:17" x14ac:dyDescent="0.25">
      <c r="A118" s="76"/>
      <c r="B118" s="76"/>
      <c r="C118" s="77" t="s">
        <v>32</v>
      </c>
      <c r="D118" s="78" t="s">
        <v>33</v>
      </c>
      <c r="E118" s="76" t="str">
        <v>Técnico em refrigeração</v>
      </c>
      <c r="F118" s="77" t="str">
        <v>H</v>
      </c>
      <c r="G118" s="79">
        <v>0.5</v>
      </c>
      <c r="H118" s="79"/>
      <c r="I118" s="80">
        <v>65</v>
      </c>
      <c r="J118" s="80">
        <v>32.5</v>
      </c>
      <c r="K118" s="80" t="str">
        <v/>
      </c>
      <c r="L118" s="81">
        <v>1.5</v>
      </c>
      <c r="M118" s="80">
        <v>48.75</v>
      </c>
      <c r="N118" s="80" t="str">
        <v/>
      </c>
      <c r="O118" s="76"/>
      <c r="P118" s="76"/>
      <c r="Q118" s="76"/>
    </row>
    <row r="119" spans="1:17" x14ac:dyDescent="0.25">
      <c r="A119" s="82"/>
      <c r="B119" s="82"/>
      <c r="C119" s="83" t="s">
        <v>35</v>
      </c>
      <c r="D119" s="84" t="s">
        <v>37</v>
      </c>
      <c r="E119" s="82" t="str">
        <v>Manifold digital</v>
      </c>
      <c r="F119" s="83" t="str">
        <v>H</v>
      </c>
      <c r="G119" s="85">
        <v>0.25</v>
      </c>
      <c r="H119" s="85"/>
      <c r="I119" s="86">
        <v>0.26666666666666666</v>
      </c>
      <c r="J119" s="86">
        <v>6.6666666666666666E-2</v>
      </c>
      <c r="K119" s="86" t="str">
        <v/>
      </c>
      <c r="L119" s="87">
        <v>1.3</v>
      </c>
      <c r="M119" s="86">
        <v>8.666666666666667E-2</v>
      </c>
      <c r="N119" s="86" t="str">
        <v/>
      </c>
      <c r="O119" s="82"/>
      <c r="P119" s="82"/>
      <c r="Q119" s="82"/>
    </row>
    <row r="120" spans="1:17" x14ac:dyDescent="0.25">
      <c r="A120" s="82"/>
      <c r="B120" s="82"/>
      <c r="C120" s="83" t="s">
        <v>35</v>
      </c>
      <c r="D120" s="84" t="s">
        <v>111</v>
      </c>
      <c r="E120" s="82" t="str">
        <v>Balança digital refrigeração</v>
      </c>
      <c r="F120" s="83" t="str">
        <v>H</v>
      </c>
      <c r="G120" s="85">
        <v>0.25</v>
      </c>
      <c r="H120" s="85"/>
      <c r="I120" s="86">
        <v>0.112</v>
      </c>
      <c r="J120" s="86">
        <v>2.8000000000000001E-2</v>
      </c>
      <c r="K120" s="86" t="str">
        <v/>
      </c>
      <c r="L120" s="87">
        <v>1.3</v>
      </c>
      <c r="M120" s="86">
        <v>3.6400000000000002E-2</v>
      </c>
      <c r="N120" s="86" t="str">
        <v/>
      </c>
      <c r="O120" s="82"/>
      <c r="P120" s="82"/>
      <c r="Q120" s="82"/>
    </row>
    <row r="121" spans="1:17" x14ac:dyDescent="0.25">
      <c r="E121" t="str">
        <v/>
      </c>
      <c r="F121" t="str">
        <v/>
      </c>
      <c r="I121" t="str">
        <v/>
      </c>
      <c r="J121" t="str">
        <v/>
      </c>
      <c r="K121" t="str">
        <v/>
      </c>
      <c r="L121" t="str">
        <v/>
      </c>
      <c r="M121" t="str">
        <v/>
      </c>
      <c r="N121" t="str">
        <v/>
      </c>
    </row>
    <row r="122" spans="1:17" x14ac:dyDescent="0.25">
      <c r="A122" s="103" t="s">
        <v>457</v>
      </c>
      <c r="B122" s="104" t="s">
        <v>459</v>
      </c>
      <c r="C122" s="105"/>
      <c r="D122" s="105"/>
      <c r="E122" s="105" t="str">
        <v/>
      </c>
      <c r="F122" s="105" t="str">
        <v/>
      </c>
      <c r="G122" s="105"/>
      <c r="H122" s="105"/>
      <c r="I122" s="105" t="str">
        <v/>
      </c>
      <c r="J122" s="106">
        <v>314.00833333333333</v>
      </c>
      <c r="K122" s="106">
        <v>88.850000000000009</v>
      </c>
      <c r="L122" s="105" t="str">
        <v/>
      </c>
      <c r="M122" s="106">
        <v>453.82833333333338</v>
      </c>
      <c r="N122" s="106">
        <v>122.19749999999999</v>
      </c>
      <c r="O122" s="105" t="str">
        <f>A122&amp;" - "&amp;B122</f>
        <v>COMP_INST_12K - Instalação Split 12.000 BTUs</v>
      </c>
      <c r="P122" s="107" t="s">
        <v>463</v>
      </c>
      <c r="Q122" s="107" t="s">
        <v>16</v>
      </c>
    </row>
    <row r="123" spans="1:17" x14ac:dyDescent="0.25">
      <c r="A123" s="17"/>
      <c r="B123" s="17"/>
      <c r="C123" s="63" t="s">
        <v>17</v>
      </c>
      <c r="D123" s="108" t="s">
        <v>18</v>
      </c>
      <c r="E123" s="17" t="str">
        <v>Tubo de cobre 1/4" flexível</v>
      </c>
      <c r="F123" s="63" t="str">
        <v>M</v>
      </c>
      <c r="G123" s="109"/>
      <c r="H123" s="109">
        <v>1.1000000000000001</v>
      </c>
      <c r="I123" s="110">
        <v>18</v>
      </c>
      <c r="J123" s="110" t="str">
        <v/>
      </c>
      <c r="K123" s="110">
        <v>19.8</v>
      </c>
      <c r="L123" s="74">
        <v>1.35</v>
      </c>
      <c r="M123" s="110" t="str">
        <v/>
      </c>
      <c r="N123" s="110">
        <v>26.730000000000004</v>
      </c>
      <c r="O123" s="17"/>
      <c r="P123" s="17"/>
      <c r="Q123" s="17"/>
    </row>
    <row r="124" spans="1:17" x14ac:dyDescent="0.25">
      <c r="A124" s="17"/>
      <c r="B124" s="17"/>
      <c r="C124" s="63" t="s">
        <v>17</v>
      </c>
      <c r="D124" s="108" t="s">
        <v>19</v>
      </c>
      <c r="E124" s="17" t="str">
        <v>Tubo de cobre 3/8" flexível</v>
      </c>
      <c r="F124" s="63" t="str">
        <v>M</v>
      </c>
      <c r="G124" s="109"/>
      <c r="H124" s="109">
        <v>1.1000000000000001</v>
      </c>
      <c r="I124" s="110">
        <v>28</v>
      </c>
      <c r="J124" s="110" t="str">
        <v/>
      </c>
      <c r="K124" s="110">
        <v>30.800000000000004</v>
      </c>
      <c r="L124" s="74">
        <v>1.35</v>
      </c>
      <c r="M124" s="110" t="str">
        <v/>
      </c>
      <c r="N124" s="110">
        <v>41.580000000000005</v>
      </c>
      <c r="O124" s="17"/>
      <c r="P124" s="17"/>
      <c r="Q124" s="17"/>
    </row>
    <row r="125" spans="1:17" x14ac:dyDescent="0.25">
      <c r="A125" s="17"/>
      <c r="B125" s="17"/>
      <c r="C125" s="63" t="s">
        <v>17</v>
      </c>
      <c r="D125" s="108" t="s">
        <v>20</v>
      </c>
      <c r="E125" s="17" t="str">
        <v>Isolamento elastomérico p/ 1/4" esp. 9mm</v>
      </c>
      <c r="F125" s="63" t="str">
        <v>M</v>
      </c>
      <c r="G125" s="109"/>
      <c r="H125" s="109">
        <v>1.1000000000000001</v>
      </c>
      <c r="I125" s="110">
        <v>8</v>
      </c>
      <c r="J125" s="110" t="str">
        <v/>
      </c>
      <c r="K125" s="110">
        <v>8.8000000000000007</v>
      </c>
      <c r="L125" s="74">
        <v>1.35</v>
      </c>
      <c r="M125" s="110" t="str">
        <v/>
      </c>
      <c r="N125" s="110">
        <v>11.880000000000003</v>
      </c>
      <c r="O125" s="17"/>
      <c r="P125" s="17"/>
      <c r="Q125" s="17"/>
    </row>
    <row r="126" spans="1:17" x14ac:dyDescent="0.25">
      <c r="A126" s="17"/>
      <c r="B126" s="17"/>
      <c r="C126" s="63" t="s">
        <v>17</v>
      </c>
      <c r="D126" s="108" t="s">
        <v>21</v>
      </c>
      <c r="E126" s="17" t="str">
        <v>Isolamento elastomérico p/ 3/8" esp. 9mm</v>
      </c>
      <c r="F126" s="63" t="str">
        <v>M</v>
      </c>
      <c r="G126" s="109"/>
      <c r="H126" s="109">
        <v>1.1000000000000001</v>
      </c>
      <c r="I126" s="110">
        <v>10</v>
      </c>
      <c r="J126" s="110" t="str">
        <v/>
      </c>
      <c r="K126" s="110">
        <v>11</v>
      </c>
      <c r="L126" s="74">
        <v>1.35</v>
      </c>
      <c r="M126" s="110" t="str">
        <v/>
      </c>
      <c r="N126" s="110">
        <v>14.850000000000001</v>
      </c>
      <c r="O126" s="17"/>
      <c r="P126" s="17"/>
      <c r="Q126" s="17"/>
    </row>
    <row r="127" spans="1:17" x14ac:dyDescent="0.25">
      <c r="A127" s="17"/>
      <c r="B127" s="17"/>
      <c r="C127" s="63" t="s">
        <v>17</v>
      </c>
      <c r="D127" s="108" t="s">
        <v>22</v>
      </c>
      <c r="E127" s="17" t="str">
        <v>Fita isolante térmica (rolo 30m)</v>
      </c>
      <c r="F127" s="63" t="str">
        <v>UN</v>
      </c>
      <c r="G127" s="109">
        <v>0.15</v>
      </c>
      <c r="H127" s="109"/>
      <c r="I127" s="110">
        <v>25</v>
      </c>
      <c r="J127" s="110">
        <v>3.75</v>
      </c>
      <c r="K127" s="110" t="str">
        <v/>
      </c>
      <c r="L127" s="74">
        <v>1.35</v>
      </c>
      <c r="M127" s="110">
        <v>5.0625</v>
      </c>
      <c r="N127" s="110" t="str">
        <v/>
      </c>
      <c r="O127" s="17"/>
      <c r="P127" s="17"/>
      <c r="Q127" s="17"/>
    </row>
    <row r="128" spans="1:17" x14ac:dyDescent="0.25">
      <c r="A128" s="17"/>
      <c r="B128" s="17"/>
      <c r="C128" s="63" t="s">
        <v>17</v>
      </c>
      <c r="D128" s="108" t="s">
        <v>23</v>
      </c>
      <c r="E128" s="17" t="str">
        <v>Cabo de comunicação 2x0,75mm²</v>
      </c>
      <c r="F128" s="63" t="str">
        <v>M</v>
      </c>
      <c r="G128" s="109"/>
      <c r="H128" s="109">
        <v>1.1499999999999999</v>
      </c>
      <c r="I128" s="110">
        <v>3</v>
      </c>
      <c r="J128" s="110" t="str">
        <v/>
      </c>
      <c r="K128" s="110">
        <v>3.4499999999999997</v>
      </c>
      <c r="L128" s="74">
        <v>1.35</v>
      </c>
      <c r="M128" s="110" t="str">
        <v/>
      </c>
      <c r="N128" s="110">
        <v>4.6574999999999998</v>
      </c>
      <c r="O128" s="17"/>
      <c r="P128" s="17"/>
      <c r="Q128" s="17"/>
    </row>
    <row r="129" spans="1:17" x14ac:dyDescent="0.25">
      <c r="A129" s="17"/>
      <c r="B129" s="17"/>
      <c r="C129" s="63" t="s">
        <v>17</v>
      </c>
      <c r="D129" s="108" t="s">
        <v>24</v>
      </c>
      <c r="E129" s="17" t="str">
        <v>Suporte evaporadora universal</v>
      </c>
      <c r="F129" s="63" t="str">
        <v>UN</v>
      </c>
      <c r="G129" s="109">
        <v>1</v>
      </c>
      <c r="H129" s="109"/>
      <c r="I129" s="110">
        <v>45</v>
      </c>
      <c r="J129" s="110">
        <v>45</v>
      </c>
      <c r="K129" s="110" t="str">
        <v/>
      </c>
      <c r="L129" s="74">
        <v>1.35</v>
      </c>
      <c r="M129" s="110">
        <v>60.750000000000007</v>
      </c>
      <c r="N129" s="110" t="str">
        <v/>
      </c>
      <c r="O129" s="17"/>
      <c r="P129" s="17"/>
      <c r="Q129" s="17"/>
    </row>
    <row r="130" spans="1:17" x14ac:dyDescent="0.25">
      <c r="A130" s="17"/>
      <c r="B130" s="17"/>
      <c r="C130" s="63" t="s">
        <v>17</v>
      </c>
      <c r="D130" s="108" t="s">
        <v>25</v>
      </c>
      <c r="E130" s="17" t="str">
        <v>Bucha nylon S10</v>
      </c>
      <c r="F130" s="63" t="str">
        <v>UN</v>
      </c>
      <c r="G130" s="109">
        <v>6</v>
      </c>
      <c r="H130" s="109"/>
      <c r="I130" s="110">
        <v>0.8</v>
      </c>
      <c r="J130" s="110">
        <v>4.8000000000000007</v>
      </c>
      <c r="K130" s="110" t="str">
        <v/>
      </c>
      <c r="L130" s="74">
        <v>1.35</v>
      </c>
      <c r="M130" s="110">
        <v>6.4800000000000013</v>
      </c>
      <c r="N130" s="110" t="str">
        <v/>
      </c>
      <c r="O130" s="17"/>
      <c r="P130" s="17"/>
      <c r="Q130" s="17"/>
    </row>
    <row r="131" spans="1:17" x14ac:dyDescent="0.25">
      <c r="A131" s="17"/>
      <c r="B131" s="17"/>
      <c r="C131" s="63" t="s">
        <v>17</v>
      </c>
      <c r="D131" s="108" t="s">
        <v>26</v>
      </c>
      <c r="E131" s="17" t="str">
        <v>Parafuso chipboard 6x60mm</v>
      </c>
      <c r="F131" s="63" t="str">
        <v>UN</v>
      </c>
      <c r="G131" s="109">
        <v>6</v>
      </c>
      <c r="H131" s="109"/>
      <c r="I131" s="110">
        <v>0.5</v>
      </c>
      <c r="J131" s="110">
        <v>3</v>
      </c>
      <c r="K131" s="110" t="str">
        <v/>
      </c>
      <c r="L131" s="74">
        <v>1.35</v>
      </c>
      <c r="M131" s="110">
        <v>4.0500000000000007</v>
      </c>
      <c r="N131" s="110" t="str">
        <v/>
      </c>
      <c r="O131" s="17"/>
      <c r="P131" s="17"/>
      <c r="Q131" s="17"/>
    </row>
    <row r="132" spans="1:17" x14ac:dyDescent="0.25">
      <c r="A132" s="17"/>
      <c r="B132" s="17"/>
      <c r="C132" s="63" t="s">
        <v>17</v>
      </c>
      <c r="D132" s="108" t="s">
        <v>27</v>
      </c>
      <c r="E132" s="17" t="str">
        <v>Espuma expansiva 500ml</v>
      </c>
      <c r="F132" s="63" t="str">
        <v>UN</v>
      </c>
      <c r="G132" s="109">
        <v>0.3</v>
      </c>
      <c r="H132" s="109"/>
      <c r="I132" s="110">
        <v>28</v>
      </c>
      <c r="J132" s="110">
        <v>8.4</v>
      </c>
      <c r="K132" s="110" t="str">
        <v/>
      </c>
      <c r="L132" s="74">
        <v>1.35</v>
      </c>
      <c r="M132" s="110">
        <v>11.340000000000002</v>
      </c>
      <c r="N132" s="110" t="str">
        <v/>
      </c>
      <c r="O132" s="17"/>
      <c r="P132" s="17"/>
      <c r="Q132" s="17"/>
    </row>
    <row r="133" spans="1:17" x14ac:dyDescent="0.25">
      <c r="A133" s="17"/>
      <c r="B133" s="17"/>
      <c r="C133" s="63" t="s">
        <v>17</v>
      </c>
      <c r="D133" s="108" t="s">
        <v>28</v>
      </c>
      <c r="E133" s="17" t="str">
        <v>Fita isolante preta 20m</v>
      </c>
      <c r="F133" s="63" t="str">
        <v>UN</v>
      </c>
      <c r="G133" s="109">
        <v>0.25</v>
      </c>
      <c r="H133" s="109"/>
      <c r="I133" s="110">
        <v>8</v>
      </c>
      <c r="J133" s="110">
        <v>2</v>
      </c>
      <c r="K133" s="110" t="str">
        <v/>
      </c>
      <c r="L133" s="74">
        <v>1.35</v>
      </c>
      <c r="M133" s="110">
        <v>2.7</v>
      </c>
      <c r="N133" s="110" t="str">
        <v/>
      </c>
      <c r="O133" s="17"/>
      <c r="P133" s="17"/>
      <c r="Q133" s="17"/>
    </row>
    <row r="134" spans="1:17" x14ac:dyDescent="0.25">
      <c r="A134" s="17"/>
      <c r="B134" s="17"/>
      <c r="C134" s="63" t="s">
        <v>17</v>
      </c>
      <c r="D134" s="108" t="s">
        <v>29</v>
      </c>
      <c r="E134" s="17" t="str">
        <v>Fita autofusão 10m</v>
      </c>
      <c r="F134" s="63" t="str">
        <v>UN</v>
      </c>
      <c r="G134" s="109">
        <v>0.2</v>
      </c>
      <c r="H134" s="109"/>
      <c r="I134" s="110">
        <v>25</v>
      </c>
      <c r="J134" s="110">
        <v>5</v>
      </c>
      <c r="K134" s="110" t="str">
        <v/>
      </c>
      <c r="L134" s="74">
        <v>1.35</v>
      </c>
      <c r="M134" s="110">
        <v>6.75</v>
      </c>
      <c r="N134" s="110" t="str">
        <v/>
      </c>
      <c r="O134" s="17"/>
      <c r="P134" s="17"/>
      <c r="Q134" s="17"/>
    </row>
    <row r="135" spans="1:17" x14ac:dyDescent="0.25">
      <c r="A135" s="17"/>
      <c r="B135" s="17"/>
      <c r="C135" s="63" t="s">
        <v>17</v>
      </c>
      <c r="D135" s="108" t="s">
        <v>30</v>
      </c>
      <c r="E135" s="17" t="str">
        <v>Vareta solda prata 5%</v>
      </c>
      <c r="F135" s="63" t="str">
        <v>UN</v>
      </c>
      <c r="G135" s="109">
        <v>2</v>
      </c>
      <c r="H135" s="109"/>
      <c r="I135" s="110">
        <v>18</v>
      </c>
      <c r="J135" s="110">
        <v>36</v>
      </c>
      <c r="K135" s="110" t="str">
        <v/>
      </c>
      <c r="L135" s="74">
        <v>1.35</v>
      </c>
      <c r="M135" s="110">
        <v>48.6</v>
      </c>
      <c r="N135" s="110" t="str">
        <v/>
      </c>
      <c r="O135" s="17"/>
      <c r="P135" s="17"/>
      <c r="Q135" s="17"/>
    </row>
    <row r="136" spans="1:17" x14ac:dyDescent="0.25">
      <c r="A136" s="17"/>
      <c r="B136" s="17"/>
      <c r="C136" s="63" t="s">
        <v>17</v>
      </c>
      <c r="D136" s="108" t="s">
        <v>31</v>
      </c>
      <c r="E136" s="17" t="str">
        <v>Fluxo para solda 100g</v>
      </c>
      <c r="F136" s="63" t="str">
        <v>UN</v>
      </c>
      <c r="G136" s="109">
        <v>0.2</v>
      </c>
      <c r="H136" s="109"/>
      <c r="I136" s="110">
        <v>22</v>
      </c>
      <c r="J136" s="110">
        <v>4.4000000000000004</v>
      </c>
      <c r="K136" s="110" t="str">
        <v/>
      </c>
      <c r="L136" s="74">
        <v>1.35</v>
      </c>
      <c r="M136" s="110">
        <v>5.9400000000000013</v>
      </c>
      <c r="N136" s="110" t="str">
        <v/>
      </c>
      <c r="O136" s="17"/>
      <c r="P136" s="17"/>
      <c r="Q136" s="17"/>
    </row>
    <row r="137" spans="1:17" x14ac:dyDescent="0.25">
      <c r="A137" s="111"/>
      <c r="B137" s="111"/>
      <c r="C137" s="112" t="s">
        <v>32</v>
      </c>
      <c r="D137" s="113" t="s">
        <v>33</v>
      </c>
      <c r="E137" s="111" t="str">
        <v>Técnico em refrigeração</v>
      </c>
      <c r="F137" s="112" t="str">
        <v>H</v>
      </c>
      <c r="G137" s="114">
        <v>2</v>
      </c>
      <c r="H137" s="114">
        <v>0.15</v>
      </c>
      <c r="I137" s="115">
        <v>65</v>
      </c>
      <c r="J137" s="115">
        <v>130</v>
      </c>
      <c r="K137" s="115">
        <v>9.75</v>
      </c>
      <c r="L137" s="116">
        <v>1.5</v>
      </c>
      <c r="M137" s="115">
        <v>195</v>
      </c>
      <c r="N137" s="115">
        <v>14.625</v>
      </c>
      <c r="O137" s="111"/>
      <c r="P137" s="111"/>
      <c r="Q137" s="111"/>
    </row>
    <row r="138" spans="1:17" x14ac:dyDescent="0.25">
      <c r="A138" s="111"/>
      <c r="B138" s="111"/>
      <c r="C138" s="112" t="s">
        <v>32</v>
      </c>
      <c r="D138" s="113" t="s">
        <v>34</v>
      </c>
      <c r="E138" s="111" t="str">
        <v>Ajudante de instalação</v>
      </c>
      <c r="F138" s="112" t="str">
        <v>H</v>
      </c>
      <c r="G138" s="114">
        <v>2</v>
      </c>
      <c r="H138" s="114">
        <v>0.15</v>
      </c>
      <c r="I138" s="115">
        <v>35</v>
      </c>
      <c r="J138" s="115">
        <v>70</v>
      </c>
      <c r="K138" s="115">
        <v>5.25</v>
      </c>
      <c r="L138" s="116">
        <v>1.5</v>
      </c>
      <c r="M138" s="115">
        <v>105</v>
      </c>
      <c r="N138" s="115">
        <v>7.875</v>
      </c>
      <c r="O138" s="111"/>
      <c r="P138" s="111"/>
      <c r="Q138" s="111"/>
    </row>
    <row r="139" spans="1:17" x14ac:dyDescent="0.25">
      <c r="A139" s="117"/>
      <c r="B139" s="117"/>
      <c r="C139" s="118" t="s">
        <v>35</v>
      </c>
      <c r="D139" s="119" t="s">
        <v>36</v>
      </c>
      <c r="E139" s="117" t="str">
        <v>Bomba de vácuo</v>
      </c>
      <c r="F139" s="118" t="str">
        <v>H</v>
      </c>
      <c r="G139" s="120">
        <v>0.5</v>
      </c>
      <c r="H139" s="120"/>
      <c r="I139" s="121">
        <v>0.75</v>
      </c>
      <c r="J139" s="121">
        <v>0.375</v>
      </c>
      <c r="K139" s="121" t="str">
        <v/>
      </c>
      <c r="L139" s="122">
        <v>1.3</v>
      </c>
      <c r="M139" s="121">
        <v>0.48750000000000004</v>
      </c>
      <c r="N139" s="121" t="str">
        <v/>
      </c>
      <c r="O139" s="117"/>
      <c r="P139" s="117"/>
      <c r="Q139" s="117"/>
    </row>
    <row r="140" spans="1:17" x14ac:dyDescent="0.25">
      <c r="A140" s="117"/>
      <c r="B140" s="117"/>
      <c r="C140" s="118" t="s">
        <v>35</v>
      </c>
      <c r="D140" s="119" t="s">
        <v>37</v>
      </c>
      <c r="E140" s="117" t="str">
        <v>Manifold digital</v>
      </c>
      <c r="F140" s="118" t="str">
        <v>H</v>
      </c>
      <c r="G140" s="120">
        <v>0.5</v>
      </c>
      <c r="H140" s="120"/>
      <c r="I140" s="121">
        <v>0.26666666666666666</v>
      </c>
      <c r="J140" s="121">
        <v>0.13333333333333333</v>
      </c>
      <c r="K140" s="121" t="str">
        <v/>
      </c>
      <c r="L140" s="122">
        <v>1.3</v>
      </c>
      <c r="M140" s="121">
        <v>0.17333333333333334</v>
      </c>
      <c r="N140" s="121" t="str">
        <v/>
      </c>
      <c r="O140" s="117"/>
      <c r="P140" s="117"/>
      <c r="Q140" s="117"/>
    </row>
    <row r="141" spans="1:17" x14ac:dyDescent="0.25">
      <c r="A141" s="117"/>
      <c r="B141" s="117"/>
      <c r="C141" s="118" t="s">
        <v>35</v>
      </c>
      <c r="D141" s="119" t="s">
        <v>38</v>
      </c>
      <c r="E141" s="117" t="str">
        <v>Kit solda oxigênio/GLP</v>
      </c>
      <c r="F141" s="118" t="str">
        <v>H</v>
      </c>
      <c r="G141" s="120">
        <v>0.5</v>
      </c>
      <c r="H141" s="120"/>
      <c r="I141" s="121">
        <v>0.8</v>
      </c>
      <c r="J141" s="121">
        <v>0.4</v>
      </c>
      <c r="K141" s="121" t="str">
        <v/>
      </c>
      <c r="L141" s="122">
        <v>1.3</v>
      </c>
      <c r="M141" s="121">
        <v>0.52</v>
      </c>
      <c r="N141" s="121" t="str">
        <v/>
      </c>
      <c r="O141" s="117"/>
      <c r="P141" s="117"/>
      <c r="Q141" s="117"/>
    </row>
    <row r="142" spans="1:17" x14ac:dyDescent="0.25">
      <c r="A142" s="117"/>
      <c r="B142" s="117"/>
      <c r="C142" s="118" t="s">
        <v>35</v>
      </c>
      <c r="D142" s="119" t="s">
        <v>39</v>
      </c>
      <c r="E142" s="117" t="str">
        <v>Ferramentas manuais (conjunto)</v>
      </c>
      <c r="F142" s="118" t="str">
        <v>H</v>
      </c>
      <c r="G142" s="120">
        <v>2.5</v>
      </c>
      <c r="H142" s="120"/>
      <c r="I142" s="121">
        <v>0.3</v>
      </c>
      <c r="J142" s="121">
        <v>0.75</v>
      </c>
      <c r="K142" s="121" t="str">
        <v/>
      </c>
      <c r="L142" s="122">
        <v>1.3</v>
      </c>
      <c r="M142" s="121">
        <v>0.97500000000000009</v>
      </c>
      <c r="N142" s="121" t="str">
        <v/>
      </c>
      <c r="O142" s="117"/>
      <c r="P142" s="117"/>
      <c r="Q142" s="117"/>
    </row>
    <row r="143" spans="1:17" x14ac:dyDescent="0.25">
      <c r="E143" t="str">
        <v/>
      </c>
      <c r="F143" t="str">
        <v/>
      </c>
      <c r="I143" t="str">
        <v/>
      </c>
      <c r="J143" t="str">
        <v/>
      </c>
      <c r="K143" t="str">
        <v/>
      </c>
      <c r="L143" t="str">
        <v/>
      </c>
      <c r="M143" t="str">
        <v/>
      </c>
      <c r="N143" t="str">
        <v/>
      </c>
    </row>
    <row r="144" spans="1:17" x14ac:dyDescent="0.25">
      <c r="A144" s="103" t="s">
        <v>465</v>
      </c>
      <c r="B144" s="104" t="s">
        <v>466</v>
      </c>
      <c r="C144" s="105"/>
      <c r="D144" s="105"/>
      <c r="E144" s="105" t="str">
        <v/>
      </c>
      <c r="F144" s="105" t="str">
        <v/>
      </c>
      <c r="G144" s="105"/>
      <c r="H144" s="105"/>
      <c r="I144" s="105" t="str">
        <v/>
      </c>
      <c r="J144" s="105">
        <v>314.00833333333333</v>
      </c>
      <c r="K144" s="105">
        <v>88.850000000000009</v>
      </c>
      <c r="L144" s="105" t="str">
        <v/>
      </c>
      <c r="M144" s="105">
        <v>453.82833333333338</v>
      </c>
      <c r="N144" s="105">
        <v>122.19749999999999</v>
      </c>
      <c r="O144" s="105" t="str">
        <f>A144&amp;" - "&amp;B144</f>
        <v>COMP_INST_18K - Instalação Split 18.000 BTUs</v>
      </c>
      <c r="P144" s="107" t="s">
        <v>467</v>
      </c>
      <c r="Q144" s="107" t="s">
        <v>458</v>
      </c>
    </row>
    <row r="145" spans="1:17" x14ac:dyDescent="0.25">
      <c r="A145" s="17"/>
      <c r="B145" s="17"/>
      <c r="C145" s="63" t="s">
        <v>17</v>
      </c>
      <c r="D145" s="108" t="s">
        <v>18</v>
      </c>
      <c r="E145" s="17" t="str">
        <v>Tubo de cobre 1/4" flexível</v>
      </c>
      <c r="F145" s="63" t="str">
        <v>M</v>
      </c>
      <c r="G145" s="109"/>
      <c r="H145" s="109">
        <v>1.1000000000000001</v>
      </c>
      <c r="I145" s="110">
        <v>18</v>
      </c>
      <c r="J145" s="110" t="str">
        <v/>
      </c>
      <c r="K145" s="110">
        <v>19.8</v>
      </c>
      <c r="L145" s="74">
        <v>1.35</v>
      </c>
      <c r="M145" s="110" t="str">
        <v/>
      </c>
      <c r="N145" s="110">
        <v>26.730000000000004</v>
      </c>
      <c r="O145" s="17"/>
      <c r="P145" s="17"/>
      <c r="Q145" s="17"/>
    </row>
    <row r="146" spans="1:17" x14ac:dyDescent="0.25">
      <c r="A146" s="17"/>
      <c r="B146" s="17"/>
      <c r="C146" s="63" t="s">
        <v>17</v>
      </c>
      <c r="D146" s="108" t="s">
        <v>19</v>
      </c>
      <c r="E146" s="17" t="str">
        <v>Tubo de cobre 3/8" flexível</v>
      </c>
      <c r="F146" s="63" t="str">
        <v>M</v>
      </c>
      <c r="G146" s="109"/>
      <c r="H146" s="109">
        <v>1.1000000000000001</v>
      </c>
      <c r="I146" s="110">
        <v>28</v>
      </c>
      <c r="J146" s="110" t="str">
        <v/>
      </c>
      <c r="K146" s="110">
        <v>30.800000000000004</v>
      </c>
      <c r="L146" s="74">
        <v>1.35</v>
      </c>
      <c r="M146" s="110" t="str">
        <v/>
      </c>
      <c r="N146" s="110">
        <v>41.580000000000005</v>
      </c>
      <c r="O146" s="17"/>
      <c r="P146" s="17"/>
      <c r="Q146" s="17"/>
    </row>
    <row r="147" spans="1:17" x14ac:dyDescent="0.25">
      <c r="A147" s="17"/>
      <c r="B147" s="17"/>
      <c r="C147" s="63" t="s">
        <v>17</v>
      </c>
      <c r="D147" s="108" t="s">
        <v>20</v>
      </c>
      <c r="E147" s="17" t="str">
        <v>Isolamento elastomérico p/ 1/4" esp. 9mm</v>
      </c>
      <c r="F147" s="63" t="str">
        <v>M</v>
      </c>
      <c r="G147" s="109"/>
      <c r="H147" s="109">
        <v>1.1000000000000001</v>
      </c>
      <c r="I147" s="110">
        <v>8</v>
      </c>
      <c r="J147" s="110" t="str">
        <v/>
      </c>
      <c r="K147" s="110">
        <v>8.8000000000000007</v>
      </c>
      <c r="L147" s="74">
        <v>1.35</v>
      </c>
      <c r="M147" s="110" t="str">
        <v/>
      </c>
      <c r="N147" s="110">
        <v>11.880000000000003</v>
      </c>
      <c r="O147" s="17"/>
      <c r="P147" s="17"/>
      <c r="Q147" s="17"/>
    </row>
    <row r="148" spans="1:17" x14ac:dyDescent="0.25">
      <c r="A148" s="17"/>
      <c r="B148" s="17"/>
      <c r="C148" s="63" t="s">
        <v>17</v>
      </c>
      <c r="D148" s="108" t="s">
        <v>21</v>
      </c>
      <c r="E148" s="17" t="str">
        <v>Isolamento elastomérico p/ 3/8" esp. 9mm</v>
      </c>
      <c r="F148" s="63" t="str">
        <v>M</v>
      </c>
      <c r="G148" s="109"/>
      <c r="H148" s="109">
        <v>1.1000000000000001</v>
      </c>
      <c r="I148" s="110">
        <v>10</v>
      </c>
      <c r="J148" s="110" t="str">
        <v/>
      </c>
      <c r="K148" s="110">
        <v>11</v>
      </c>
      <c r="L148" s="74">
        <v>1.35</v>
      </c>
      <c r="M148" s="110" t="str">
        <v/>
      </c>
      <c r="N148" s="110">
        <v>14.850000000000001</v>
      </c>
      <c r="O148" s="17"/>
      <c r="P148" s="17"/>
      <c r="Q148" s="17"/>
    </row>
    <row r="149" spans="1:17" x14ac:dyDescent="0.25">
      <c r="A149" s="17"/>
      <c r="B149" s="17"/>
      <c r="C149" s="63" t="s">
        <v>17</v>
      </c>
      <c r="D149" s="108" t="s">
        <v>22</v>
      </c>
      <c r="E149" s="17" t="str">
        <v>Fita isolante térmica (rolo 30m)</v>
      </c>
      <c r="F149" s="63" t="str">
        <v>UN</v>
      </c>
      <c r="G149" s="109">
        <v>0.15</v>
      </c>
      <c r="H149" s="109"/>
      <c r="I149" s="110">
        <v>25</v>
      </c>
      <c r="J149" s="110">
        <v>3.75</v>
      </c>
      <c r="K149" s="110" t="str">
        <v/>
      </c>
      <c r="L149" s="74">
        <v>1.35</v>
      </c>
      <c r="M149" s="110">
        <v>5.0625</v>
      </c>
      <c r="N149" s="110" t="str">
        <v/>
      </c>
      <c r="O149" s="17"/>
      <c r="P149" s="17"/>
      <c r="Q149" s="17"/>
    </row>
    <row r="150" spans="1:17" x14ac:dyDescent="0.25">
      <c r="A150" s="17"/>
      <c r="B150" s="17"/>
      <c r="C150" s="63" t="s">
        <v>17</v>
      </c>
      <c r="D150" s="108" t="s">
        <v>23</v>
      </c>
      <c r="E150" s="17" t="str">
        <v>Cabo de comunicação 2x0,75mm²</v>
      </c>
      <c r="F150" s="63" t="str">
        <v>M</v>
      </c>
      <c r="G150" s="109"/>
      <c r="H150" s="109">
        <v>1.1499999999999999</v>
      </c>
      <c r="I150" s="110">
        <v>3</v>
      </c>
      <c r="J150" s="110" t="str">
        <v/>
      </c>
      <c r="K150" s="110">
        <v>3.4499999999999997</v>
      </c>
      <c r="L150" s="74">
        <v>1.35</v>
      </c>
      <c r="M150" s="110" t="str">
        <v/>
      </c>
      <c r="N150" s="110">
        <v>4.6574999999999998</v>
      </c>
      <c r="O150" s="17"/>
      <c r="P150" s="17"/>
      <c r="Q150" s="17"/>
    </row>
    <row r="151" spans="1:17" x14ac:dyDescent="0.25">
      <c r="A151" s="17"/>
      <c r="B151" s="17"/>
      <c r="C151" s="63" t="s">
        <v>17</v>
      </c>
      <c r="D151" s="108" t="s">
        <v>24</v>
      </c>
      <c r="E151" s="17" t="str">
        <v>Suporte evaporadora universal</v>
      </c>
      <c r="F151" s="63" t="str">
        <v>UN</v>
      </c>
      <c r="G151" s="109">
        <v>1</v>
      </c>
      <c r="H151" s="109"/>
      <c r="I151" s="110">
        <v>45</v>
      </c>
      <c r="J151" s="110">
        <v>45</v>
      </c>
      <c r="K151" s="110" t="str">
        <v/>
      </c>
      <c r="L151" s="74">
        <v>1.35</v>
      </c>
      <c r="M151" s="110">
        <v>60.750000000000007</v>
      </c>
      <c r="N151" s="110" t="str">
        <v/>
      </c>
      <c r="O151" s="17"/>
      <c r="P151" s="17"/>
      <c r="Q151" s="17"/>
    </row>
    <row r="152" spans="1:17" x14ac:dyDescent="0.25">
      <c r="A152" s="17"/>
      <c r="B152" s="17"/>
      <c r="C152" s="63" t="s">
        <v>17</v>
      </c>
      <c r="D152" s="108" t="s">
        <v>25</v>
      </c>
      <c r="E152" s="17" t="str">
        <v>Bucha nylon S10</v>
      </c>
      <c r="F152" s="63" t="str">
        <v>UN</v>
      </c>
      <c r="G152" s="109">
        <v>6</v>
      </c>
      <c r="H152" s="109"/>
      <c r="I152" s="110">
        <v>0.8</v>
      </c>
      <c r="J152" s="110">
        <v>4.8000000000000007</v>
      </c>
      <c r="K152" s="110" t="str">
        <v/>
      </c>
      <c r="L152" s="74">
        <v>1.35</v>
      </c>
      <c r="M152" s="110">
        <v>6.4800000000000013</v>
      </c>
      <c r="N152" s="110" t="str">
        <v/>
      </c>
      <c r="O152" s="17"/>
      <c r="P152" s="17"/>
      <c r="Q152" s="17"/>
    </row>
    <row r="153" spans="1:17" x14ac:dyDescent="0.25">
      <c r="A153" s="17"/>
      <c r="B153" s="17"/>
      <c r="C153" s="63" t="s">
        <v>17</v>
      </c>
      <c r="D153" s="108" t="s">
        <v>26</v>
      </c>
      <c r="E153" s="17" t="str">
        <v>Parafuso chipboard 6x60mm</v>
      </c>
      <c r="F153" s="63" t="str">
        <v>UN</v>
      </c>
      <c r="G153" s="109">
        <v>6</v>
      </c>
      <c r="H153" s="109"/>
      <c r="I153" s="110">
        <v>0.5</v>
      </c>
      <c r="J153" s="110">
        <v>3</v>
      </c>
      <c r="K153" s="110" t="str">
        <v/>
      </c>
      <c r="L153" s="74">
        <v>1.35</v>
      </c>
      <c r="M153" s="110">
        <v>4.0500000000000007</v>
      </c>
      <c r="N153" s="110" t="str">
        <v/>
      </c>
      <c r="O153" s="17"/>
      <c r="P153" s="17"/>
      <c r="Q153" s="17"/>
    </row>
    <row r="154" spans="1:17" x14ac:dyDescent="0.25">
      <c r="A154" s="17"/>
      <c r="B154" s="17"/>
      <c r="C154" s="63" t="s">
        <v>17</v>
      </c>
      <c r="D154" s="108" t="s">
        <v>27</v>
      </c>
      <c r="E154" s="17" t="str">
        <v>Espuma expansiva 500ml</v>
      </c>
      <c r="F154" s="63" t="str">
        <v>UN</v>
      </c>
      <c r="G154" s="109">
        <v>0.3</v>
      </c>
      <c r="H154" s="109"/>
      <c r="I154" s="110">
        <v>28</v>
      </c>
      <c r="J154" s="110">
        <v>8.4</v>
      </c>
      <c r="K154" s="110" t="str">
        <v/>
      </c>
      <c r="L154" s="74">
        <v>1.35</v>
      </c>
      <c r="M154" s="110">
        <v>11.340000000000002</v>
      </c>
      <c r="N154" s="110" t="str">
        <v/>
      </c>
      <c r="O154" s="17"/>
      <c r="P154" s="17"/>
      <c r="Q154" s="17"/>
    </row>
    <row r="155" spans="1:17" x14ac:dyDescent="0.25">
      <c r="A155" s="17"/>
      <c r="B155" s="17"/>
      <c r="C155" s="63" t="s">
        <v>17</v>
      </c>
      <c r="D155" s="108" t="s">
        <v>28</v>
      </c>
      <c r="E155" s="17" t="str">
        <v>Fita isolante preta 20m</v>
      </c>
      <c r="F155" s="63" t="str">
        <v>UN</v>
      </c>
      <c r="G155" s="109">
        <v>0.25</v>
      </c>
      <c r="H155" s="109"/>
      <c r="I155" s="110">
        <v>8</v>
      </c>
      <c r="J155" s="110">
        <v>2</v>
      </c>
      <c r="K155" s="110" t="str">
        <v/>
      </c>
      <c r="L155" s="74">
        <v>1.35</v>
      </c>
      <c r="M155" s="110">
        <v>2.7</v>
      </c>
      <c r="N155" s="110" t="str">
        <v/>
      </c>
      <c r="O155" s="17"/>
      <c r="P155" s="17"/>
      <c r="Q155" s="17"/>
    </row>
    <row r="156" spans="1:17" x14ac:dyDescent="0.25">
      <c r="A156" s="17"/>
      <c r="B156" s="17"/>
      <c r="C156" s="63" t="s">
        <v>17</v>
      </c>
      <c r="D156" s="108" t="s">
        <v>29</v>
      </c>
      <c r="E156" s="17" t="str">
        <v>Fita autofusão 10m</v>
      </c>
      <c r="F156" s="63" t="str">
        <v>UN</v>
      </c>
      <c r="G156" s="109">
        <v>0.2</v>
      </c>
      <c r="H156" s="109"/>
      <c r="I156" s="110">
        <v>25</v>
      </c>
      <c r="J156" s="110">
        <v>5</v>
      </c>
      <c r="K156" s="110" t="str">
        <v/>
      </c>
      <c r="L156" s="74">
        <v>1.35</v>
      </c>
      <c r="M156" s="110">
        <v>6.75</v>
      </c>
      <c r="N156" s="110" t="str">
        <v/>
      </c>
      <c r="O156" s="17"/>
      <c r="P156" s="17"/>
      <c r="Q156" s="17"/>
    </row>
    <row r="157" spans="1:17" x14ac:dyDescent="0.25">
      <c r="A157" s="17"/>
      <c r="B157" s="17"/>
      <c r="C157" s="63" t="s">
        <v>17</v>
      </c>
      <c r="D157" s="108" t="s">
        <v>30</v>
      </c>
      <c r="E157" s="17" t="str">
        <v>Vareta solda prata 5%</v>
      </c>
      <c r="F157" s="63" t="str">
        <v>UN</v>
      </c>
      <c r="G157" s="109">
        <v>2</v>
      </c>
      <c r="H157" s="109"/>
      <c r="I157" s="110">
        <v>18</v>
      </c>
      <c r="J157" s="110">
        <v>36</v>
      </c>
      <c r="K157" s="110" t="str">
        <v/>
      </c>
      <c r="L157" s="74">
        <v>1.35</v>
      </c>
      <c r="M157" s="110">
        <v>48.6</v>
      </c>
      <c r="N157" s="110" t="str">
        <v/>
      </c>
      <c r="O157" s="17"/>
      <c r="P157" s="17"/>
      <c r="Q157" s="17"/>
    </row>
    <row r="158" spans="1:17" x14ac:dyDescent="0.25">
      <c r="A158" s="17"/>
      <c r="B158" s="17"/>
      <c r="C158" s="63" t="s">
        <v>17</v>
      </c>
      <c r="D158" s="108" t="s">
        <v>31</v>
      </c>
      <c r="E158" s="17" t="str">
        <v>Fluxo para solda 100g</v>
      </c>
      <c r="F158" s="63" t="str">
        <v>UN</v>
      </c>
      <c r="G158" s="109">
        <v>0.2</v>
      </c>
      <c r="H158" s="109"/>
      <c r="I158" s="110">
        <v>22</v>
      </c>
      <c r="J158" s="110">
        <v>4.4000000000000004</v>
      </c>
      <c r="K158" s="110" t="str">
        <v/>
      </c>
      <c r="L158" s="74">
        <v>1.35</v>
      </c>
      <c r="M158" s="110">
        <v>5.9400000000000013</v>
      </c>
      <c r="N158" s="110" t="str">
        <v/>
      </c>
      <c r="O158" s="17"/>
      <c r="P158" s="17"/>
      <c r="Q158" s="17"/>
    </row>
    <row r="159" spans="1:17" x14ac:dyDescent="0.25">
      <c r="A159" s="111"/>
      <c r="B159" s="111"/>
      <c r="C159" s="112" t="s">
        <v>32</v>
      </c>
      <c r="D159" s="113" t="s">
        <v>33</v>
      </c>
      <c r="E159" s="111" t="str">
        <v>Técnico em refrigeração</v>
      </c>
      <c r="F159" s="112" t="str">
        <v>H</v>
      </c>
      <c r="G159" s="114">
        <v>2</v>
      </c>
      <c r="H159" s="114">
        <v>0.15</v>
      </c>
      <c r="I159" s="115">
        <v>65</v>
      </c>
      <c r="J159" s="115">
        <v>130</v>
      </c>
      <c r="K159" s="115">
        <v>9.75</v>
      </c>
      <c r="L159" s="116">
        <v>1.5</v>
      </c>
      <c r="M159" s="115">
        <v>195</v>
      </c>
      <c r="N159" s="115">
        <v>14.625</v>
      </c>
      <c r="O159" s="111"/>
      <c r="P159" s="111"/>
      <c r="Q159" s="111"/>
    </row>
    <row r="160" spans="1:17" x14ac:dyDescent="0.25">
      <c r="A160" s="111"/>
      <c r="B160" s="111"/>
      <c r="C160" s="112" t="s">
        <v>32</v>
      </c>
      <c r="D160" s="113" t="s">
        <v>34</v>
      </c>
      <c r="E160" s="111" t="str">
        <v>Ajudante de instalação</v>
      </c>
      <c r="F160" s="112" t="str">
        <v>H</v>
      </c>
      <c r="G160" s="114">
        <v>2</v>
      </c>
      <c r="H160" s="114">
        <v>0.15</v>
      </c>
      <c r="I160" s="115">
        <v>35</v>
      </c>
      <c r="J160" s="115">
        <v>70</v>
      </c>
      <c r="K160" s="115">
        <v>5.25</v>
      </c>
      <c r="L160" s="116">
        <v>1.5</v>
      </c>
      <c r="M160" s="115">
        <v>105</v>
      </c>
      <c r="N160" s="115">
        <v>7.875</v>
      </c>
      <c r="O160" s="111"/>
      <c r="P160" s="111"/>
      <c r="Q160" s="111"/>
    </row>
    <row r="161" spans="1:17" x14ac:dyDescent="0.25">
      <c r="A161" s="117"/>
      <c r="B161" s="117"/>
      <c r="C161" s="118" t="s">
        <v>35</v>
      </c>
      <c r="D161" s="119" t="s">
        <v>36</v>
      </c>
      <c r="E161" s="117" t="str">
        <v>Bomba de vácuo</v>
      </c>
      <c r="F161" s="118" t="str">
        <v>H</v>
      </c>
      <c r="G161" s="120">
        <v>0.5</v>
      </c>
      <c r="H161" s="120"/>
      <c r="I161" s="121">
        <v>0.75</v>
      </c>
      <c r="J161" s="121">
        <v>0.375</v>
      </c>
      <c r="K161" s="121" t="str">
        <v/>
      </c>
      <c r="L161" s="122">
        <v>1.3</v>
      </c>
      <c r="M161" s="121">
        <v>0.48750000000000004</v>
      </c>
      <c r="N161" s="121" t="str">
        <v/>
      </c>
      <c r="O161" s="117"/>
      <c r="P161" s="117"/>
      <c r="Q161" s="117"/>
    </row>
    <row r="162" spans="1:17" x14ac:dyDescent="0.25">
      <c r="A162" s="117"/>
      <c r="B162" s="117"/>
      <c r="C162" s="118" t="s">
        <v>35</v>
      </c>
      <c r="D162" s="119" t="s">
        <v>37</v>
      </c>
      <c r="E162" s="117" t="str">
        <v>Manifold digital</v>
      </c>
      <c r="F162" s="118" t="str">
        <v>H</v>
      </c>
      <c r="G162" s="120">
        <v>0.5</v>
      </c>
      <c r="H162" s="120"/>
      <c r="I162" s="121">
        <v>0.26666666666666666</v>
      </c>
      <c r="J162" s="121">
        <v>0.13333333333333333</v>
      </c>
      <c r="K162" s="121" t="str">
        <v/>
      </c>
      <c r="L162" s="122">
        <v>1.3</v>
      </c>
      <c r="M162" s="121">
        <v>0.17333333333333334</v>
      </c>
      <c r="N162" s="121" t="str">
        <v/>
      </c>
      <c r="O162" s="117"/>
      <c r="P162" s="117"/>
      <c r="Q162" s="117"/>
    </row>
    <row r="163" spans="1:17" x14ac:dyDescent="0.25">
      <c r="A163" s="117"/>
      <c r="B163" s="117"/>
      <c r="C163" s="118" t="s">
        <v>35</v>
      </c>
      <c r="D163" s="119" t="s">
        <v>38</v>
      </c>
      <c r="E163" s="117" t="str">
        <v>Kit solda oxigênio/GLP</v>
      </c>
      <c r="F163" s="118" t="str">
        <v>H</v>
      </c>
      <c r="G163" s="120">
        <v>0.5</v>
      </c>
      <c r="H163" s="120"/>
      <c r="I163" s="121">
        <v>0.8</v>
      </c>
      <c r="J163" s="121">
        <v>0.4</v>
      </c>
      <c r="K163" s="121" t="str">
        <v/>
      </c>
      <c r="L163" s="122">
        <v>1.3</v>
      </c>
      <c r="M163" s="121">
        <v>0.52</v>
      </c>
      <c r="N163" s="121" t="str">
        <v/>
      </c>
      <c r="O163" s="117"/>
      <c r="P163" s="117"/>
      <c r="Q163" s="117"/>
    </row>
    <row r="164" spans="1:17" x14ac:dyDescent="0.25">
      <c r="A164" s="117"/>
      <c r="B164" s="117"/>
      <c r="C164" s="118" t="s">
        <v>35</v>
      </c>
      <c r="D164" s="119" t="s">
        <v>39</v>
      </c>
      <c r="E164" s="117" t="str">
        <v>Ferramentas manuais (conjunto)</v>
      </c>
      <c r="F164" s="118" t="str">
        <v>H</v>
      </c>
      <c r="G164" s="120">
        <v>2.5</v>
      </c>
      <c r="H164" s="120"/>
      <c r="I164" s="121">
        <v>0.3</v>
      </c>
      <c r="J164" s="121">
        <v>0.75</v>
      </c>
      <c r="K164" s="121" t="str">
        <v/>
      </c>
      <c r="L164" s="122">
        <v>1.3</v>
      </c>
      <c r="M164" s="121">
        <v>0.97500000000000009</v>
      </c>
      <c r="N164" s="121" t="str">
        <v/>
      </c>
      <c r="O164" s="117"/>
      <c r="P164" s="117"/>
      <c r="Q164" s="117"/>
    </row>
    <row r="165" spans="1:17" x14ac:dyDescent="0.25">
      <c r="E165" t="str">
        <v/>
      </c>
      <c r="F165" t="str">
        <v/>
      </c>
      <c r="I165" t="str">
        <v/>
      </c>
      <c r="J165" t="str">
        <v/>
      </c>
      <c r="K165" t="str">
        <v/>
      </c>
      <c r="L165" t="str">
        <v/>
      </c>
      <c r="M165" t="str">
        <v/>
      </c>
      <c r="N165" t="str">
        <v/>
      </c>
    </row>
    <row r="166" spans="1:17" x14ac:dyDescent="0.25">
      <c r="E166" t="str">
        <v/>
      </c>
      <c r="F166" t="str">
        <v/>
      </c>
      <c r="I166" t="str">
        <v/>
      </c>
      <c r="J166" t="str">
        <v/>
      </c>
      <c r="K166" t="str">
        <v/>
      </c>
      <c r="L166" t="str">
        <v/>
      </c>
      <c r="M166" t="str">
        <v/>
      </c>
      <c r="N166" t="str">
        <v/>
      </c>
    </row>
    <row r="167" spans="1:17" x14ac:dyDescent="0.25">
      <c r="E167" t="str">
        <v/>
      </c>
      <c r="F167" t="str">
        <v/>
      </c>
      <c r="I167" t="str">
        <v/>
      </c>
      <c r="J167" t="str">
        <v/>
      </c>
      <c r="K167" t="str">
        <v/>
      </c>
      <c r="L167" t="str">
        <v/>
      </c>
      <c r="M167" t="str">
        <v/>
      </c>
      <c r="N167" t="str">
        <v/>
      </c>
    </row>
    <row r="168" spans="1:17" x14ac:dyDescent="0.25">
      <c r="E168" t="str">
        <v/>
      </c>
      <c r="F168" t="str">
        <v/>
      </c>
      <c r="I168" t="str">
        <v/>
      </c>
      <c r="J168" t="str">
        <v/>
      </c>
      <c r="K168" t="str">
        <v/>
      </c>
      <c r="L168" t="str">
        <v/>
      </c>
      <c r="M168" t="str">
        <v/>
      </c>
      <c r="N168" t="str">
        <v/>
      </c>
    </row>
    <row r="169" spans="1:17" x14ac:dyDescent="0.25">
      <c r="E169" t="str">
        <v/>
      </c>
      <c r="F169" t="str">
        <v/>
      </c>
      <c r="I169" t="str">
        <v/>
      </c>
      <c r="J169" t="str">
        <v/>
      </c>
      <c r="K169" t="str">
        <v/>
      </c>
      <c r="L169" t="str">
        <v/>
      </c>
      <c r="M169" t="str">
        <v/>
      </c>
      <c r="N169" t="str">
        <v/>
      </c>
    </row>
    <row r="170" spans="1:17" x14ac:dyDescent="0.25">
      <c r="E170" t="str">
        <v/>
      </c>
      <c r="F170" t="str">
        <v/>
      </c>
      <c r="I170" t="str">
        <v/>
      </c>
      <c r="J170" t="str">
        <v/>
      </c>
      <c r="K170" t="str">
        <v/>
      </c>
      <c r="L170" t="str">
        <v/>
      </c>
      <c r="M170" t="str">
        <v/>
      </c>
      <c r="N170" t="str">
        <v/>
      </c>
    </row>
    <row r="171" spans="1:17" x14ac:dyDescent="0.25">
      <c r="E171" t="str">
        <v/>
      </c>
      <c r="F171" t="str">
        <v/>
      </c>
      <c r="I171" t="str">
        <v/>
      </c>
      <c r="J171" t="str">
        <v/>
      </c>
      <c r="K171" t="str">
        <v/>
      </c>
      <c r="L171" t="str">
        <v/>
      </c>
      <c r="M171" t="str">
        <v/>
      </c>
      <c r="N171" t="str">
        <v/>
      </c>
    </row>
    <row r="172" spans="1:17" x14ac:dyDescent="0.25">
      <c r="E172" t="str">
        <v/>
      </c>
      <c r="F172" t="str">
        <v/>
      </c>
      <c r="I172" t="str">
        <v/>
      </c>
      <c r="J172" t="str">
        <v/>
      </c>
      <c r="K172" t="str">
        <v/>
      </c>
      <c r="L172" t="str">
        <v/>
      </c>
      <c r="M172" t="str">
        <v/>
      </c>
      <c r="N172" t="str">
        <v/>
      </c>
    </row>
    <row r="173" spans="1:17" x14ac:dyDescent="0.25">
      <c r="E173" t="str">
        <v/>
      </c>
      <c r="F173" t="str">
        <v/>
      </c>
      <c r="I173" t="str">
        <v/>
      </c>
      <c r="J173" t="str">
        <v/>
      </c>
      <c r="K173" t="str">
        <v/>
      </c>
      <c r="L173" t="str">
        <v/>
      </c>
      <c r="M173" t="str">
        <v/>
      </c>
      <c r="N173" t="str">
        <v/>
      </c>
    </row>
    <row r="174" spans="1:17" x14ac:dyDescent="0.25">
      <c r="E174" t="str">
        <v/>
      </c>
      <c r="F174" t="str">
        <v/>
      </c>
      <c r="I174" t="str">
        <v/>
      </c>
      <c r="J174" t="str">
        <v/>
      </c>
      <c r="K174" t="str">
        <v/>
      </c>
      <c r="L174" t="str">
        <v/>
      </c>
      <c r="M174" t="str">
        <v/>
      </c>
      <c r="N174" t="str">
        <v/>
      </c>
    </row>
    <row r="175" spans="1:17" x14ac:dyDescent="0.25">
      <c r="E175" t="str">
        <v/>
      </c>
      <c r="F175" t="str">
        <v/>
      </c>
      <c r="I175" t="str">
        <v/>
      </c>
      <c r="J175" t="str">
        <v/>
      </c>
      <c r="K175" t="str">
        <v/>
      </c>
      <c r="L175" t="str">
        <v/>
      </c>
      <c r="M175" t="str">
        <v/>
      </c>
      <c r="N175" t="str">
        <v/>
      </c>
    </row>
    <row r="176" spans="1:17" x14ac:dyDescent="0.25">
      <c r="E176" t="str">
        <v/>
      </c>
      <c r="F176" t="str">
        <v/>
      </c>
      <c r="I176" t="str">
        <v/>
      </c>
      <c r="J176" t="str">
        <v/>
      </c>
      <c r="K176" t="str">
        <v/>
      </c>
      <c r="L176" t="str">
        <v/>
      </c>
      <c r="M176" t="str">
        <v/>
      </c>
      <c r="N176" t="str">
        <v/>
      </c>
    </row>
    <row r="177" spans="5:14" x14ac:dyDescent="0.25">
      <c r="E177" t="str">
        <v/>
      </c>
      <c r="F177" t="str">
        <v/>
      </c>
      <c r="I177" t="str">
        <v/>
      </c>
      <c r="J177" t="str">
        <v/>
      </c>
      <c r="K177" t="str">
        <v/>
      </c>
      <c r="L177" t="str">
        <v/>
      </c>
      <c r="M177" t="str">
        <v/>
      </c>
      <c r="N177" t="str">
        <v/>
      </c>
    </row>
    <row r="178" spans="5:14" x14ac:dyDescent="0.25">
      <c r="E178" t="str">
        <v/>
      </c>
      <c r="F178" t="str">
        <v/>
      </c>
      <c r="I178" t="str">
        <v/>
      </c>
      <c r="J178" t="str">
        <v/>
      </c>
      <c r="K178" t="str">
        <v/>
      </c>
      <c r="L178" t="str">
        <v/>
      </c>
      <c r="M178" t="str">
        <v/>
      </c>
      <c r="N178" t="str">
        <v/>
      </c>
    </row>
    <row r="179" spans="5:14" x14ac:dyDescent="0.25">
      <c r="E179" t="str">
        <v/>
      </c>
      <c r="F179" t="str">
        <v/>
      </c>
      <c r="I179" t="str">
        <v/>
      </c>
      <c r="J179" t="str">
        <v/>
      </c>
      <c r="K179" t="str">
        <v/>
      </c>
      <c r="L179" t="str">
        <v/>
      </c>
      <c r="M179" t="str">
        <v/>
      </c>
      <c r="N179" t="str">
        <v/>
      </c>
    </row>
    <row r="180" spans="5:14" x14ac:dyDescent="0.25">
      <c r="E180" t="str">
        <v/>
      </c>
      <c r="F180" t="str">
        <v/>
      </c>
      <c r="I180" t="str">
        <v/>
      </c>
      <c r="J180" t="str">
        <v/>
      </c>
      <c r="K180" t="str">
        <v/>
      </c>
      <c r="L180" t="str">
        <v/>
      </c>
      <c r="M180" t="str">
        <v/>
      </c>
      <c r="N180" t="str">
        <v/>
      </c>
    </row>
    <row r="181" spans="5:14" x14ac:dyDescent="0.25">
      <c r="E181" t="str">
        <v/>
      </c>
      <c r="F181" t="str">
        <v/>
      </c>
      <c r="I181" t="str">
        <v/>
      </c>
      <c r="J181" t="str">
        <v/>
      </c>
      <c r="K181" t="str">
        <v/>
      </c>
      <c r="L181" t="str">
        <v/>
      </c>
      <c r="M181" t="str">
        <v/>
      </c>
      <c r="N181" t="str">
        <v/>
      </c>
    </row>
    <row r="182" spans="5:14" x14ac:dyDescent="0.25">
      <c r="E182" t="str">
        <v/>
      </c>
      <c r="F182" t="str">
        <v/>
      </c>
      <c r="I182" t="str">
        <v/>
      </c>
      <c r="J182" t="str">
        <v/>
      </c>
      <c r="K182" t="str">
        <v/>
      </c>
      <c r="L182" t="str">
        <v/>
      </c>
      <c r="M182" t="str">
        <v/>
      </c>
      <c r="N182" t="str">
        <v/>
      </c>
    </row>
    <row r="183" spans="5:14" x14ac:dyDescent="0.25">
      <c r="E183" t="str">
        <v/>
      </c>
      <c r="F183" t="str">
        <v/>
      </c>
      <c r="I183" t="str">
        <v/>
      </c>
      <c r="J183" t="str">
        <v/>
      </c>
      <c r="K183" t="str">
        <v/>
      </c>
      <c r="L183" t="str">
        <v/>
      </c>
      <c r="M183" t="str">
        <v/>
      </c>
      <c r="N183" t="str">
        <v/>
      </c>
    </row>
    <row r="184" spans="5:14" x14ac:dyDescent="0.25">
      <c r="E184" t="str">
        <v/>
      </c>
      <c r="F184" t="str">
        <v/>
      </c>
      <c r="I184" t="str">
        <v/>
      </c>
      <c r="J184" t="str">
        <v/>
      </c>
      <c r="K184" t="str">
        <v/>
      </c>
      <c r="L184" t="str">
        <v/>
      </c>
      <c r="M184" t="str">
        <v/>
      </c>
      <c r="N184" t="str">
        <v/>
      </c>
    </row>
    <row r="185" spans="5:14" x14ac:dyDescent="0.25">
      <c r="E185" t="str">
        <v/>
      </c>
      <c r="F185" t="str">
        <v/>
      </c>
      <c r="I185" t="str">
        <v/>
      </c>
      <c r="J185" t="str">
        <v/>
      </c>
      <c r="K185" t="str">
        <v/>
      </c>
      <c r="L185" t="str">
        <v/>
      </c>
      <c r="M185" t="str">
        <v/>
      </c>
      <c r="N185" t="str">
        <v/>
      </c>
    </row>
    <row r="186" spans="5:14" x14ac:dyDescent="0.25">
      <c r="E186" t="str">
        <v/>
      </c>
      <c r="F186" t="str">
        <v/>
      </c>
      <c r="I186" t="str">
        <v/>
      </c>
      <c r="J186" t="str">
        <v/>
      </c>
      <c r="K186" t="str">
        <v/>
      </c>
      <c r="L186" t="str">
        <v/>
      </c>
      <c r="M186" t="str">
        <v/>
      </c>
      <c r="N186" t="str">
        <v/>
      </c>
    </row>
    <row r="187" spans="5:14" x14ac:dyDescent="0.25">
      <c r="E187" t="str">
        <v/>
      </c>
      <c r="F187" t="str">
        <v/>
      </c>
      <c r="I187" t="str">
        <v/>
      </c>
      <c r="J187" t="str">
        <v/>
      </c>
      <c r="K187" t="str">
        <v/>
      </c>
      <c r="L187" t="str">
        <v/>
      </c>
      <c r="M187" t="str">
        <v/>
      </c>
      <c r="N187" t="str">
        <v/>
      </c>
    </row>
    <row r="188" spans="5:14" x14ac:dyDescent="0.25">
      <c r="E188" t="str">
        <v/>
      </c>
      <c r="F188" t="str">
        <v/>
      </c>
      <c r="I188" t="str">
        <v/>
      </c>
      <c r="J188" t="str">
        <v/>
      </c>
      <c r="K188" t="str">
        <v/>
      </c>
      <c r="L188" t="str">
        <v/>
      </c>
      <c r="M188" t="str">
        <v/>
      </c>
      <c r="N188" t="str">
        <v/>
      </c>
    </row>
    <row r="189" spans="5:14" x14ac:dyDescent="0.25">
      <c r="E189" t="str">
        <v/>
      </c>
      <c r="F189" t="str">
        <v/>
      </c>
      <c r="I189" t="str">
        <v/>
      </c>
      <c r="J189" t="str">
        <v/>
      </c>
      <c r="K189" t="str">
        <v/>
      </c>
      <c r="L189" t="str">
        <v/>
      </c>
      <c r="M189" t="str">
        <v/>
      </c>
      <c r="N189" t="str">
        <v/>
      </c>
    </row>
    <row r="190" spans="5:14" x14ac:dyDescent="0.25">
      <c r="E190" t="str">
        <v/>
      </c>
      <c r="F190" t="str">
        <v/>
      </c>
      <c r="I190" t="str">
        <v/>
      </c>
      <c r="J190" t="str">
        <v/>
      </c>
      <c r="K190" t="str">
        <v/>
      </c>
      <c r="L190" t="str">
        <v/>
      </c>
      <c r="M190" t="str">
        <v/>
      </c>
      <c r="N190" t="str">
        <v/>
      </c>
    </row>
    <row r="191" spans="5:14" x14ac:dyDescent="0.25">
      <c r="E191" t="str">
        <v/>
      </c>
      <c r="F191" t="str">
        <v/>
      </c>
      <c r="I191" t="str">
        <v/>
      </c>
      <c r="J191" t="str">
        <v/>
      </c>
      <c r="K191" t="str">
        <v/>
      </c>
      <c r="L191" t="str">
        <v/>
      </c>
      <c r="M191" t="str">
        <v/>
      </c>
      <c r="N191" t="str">
        <v/>
      </c>
    </row>
    <row r="192" spans="5:14" x14ac:dyDescent="0.25">
      <c r="E192" t="str">
        <v/>
      </c>
      <c r="F192" t="str">
        <v/>
      </c>
      <c r="I192" t="str">
        <v/>
      </c>
      <c r="J192" t="str">
        <v/>
      </c>
      <c r="K192" t="str">
        <v/>
      </c>
      <c r="L192" t="str">
        <v/>
      </c>
      <c r="M192" t="str">
        <v/>
      </c>
      <c r="N192" t="str">
        <v/>
      </c>
    </row>
    <row r="193" spans="5:14" x14ac:dyDescent="0.25">
      <c r="E193" t="str">
        <v/>
      </c>
      <c r="F193" t="str">
        <v/>
      </c>
      <c r="I193" t="str">
        <v/>
      </c>
      <c r="J193" t="str">
        <v/>
      </c>
      <c r="K193" t="str">
        <v/>
      </c>
      <c r="L193" t="str">
        <v/>
      </c>
      <c r="M193" t="str">
        <v/>
      </c>
      <c r="N193" t="str">
        <v/>
      </c>
    </row>
    <row r="194" spans="5:14" x14ac:dyDescent="0.25">
      <c r="E194" t="str">
        <v/>
      </c>
      <c r="F194" t="str">
        <v/>
      </c>
      <c r="I194" t="str">
        <v/>
      </c>
      <c r="J194" t="str">
        <v/>
      </c>
      <c r="K194" t="str">
        <v/>
      </c>
      <c r="L194" t="str">
        <v/>
      </c>
      <c r="M194" t="str">
        <v/>
      </c>
      <c r="N194" t="str">
        <v/>
      </c>
    </row>
    <row r="195" spans="5:14" x14ac:dyDescent="0.25">
      <c r="E195" t="str">
        <v/>
      </c>
      <c r="F195" t="str">
        <v/>
      </c>
      <c r="I195" t="str">
        <v/>
      </c>
      <c r="J195" t="str">
        <v/>
      </c>
      <c r="K195" t="str">
        <v/>
      </c>
      <c r="L195" t="str">
        <v/>
      </c>
      <c r="M195" t="str">
        <v/>
      </c>
      <c r="N195" t="str">
        <v/>
      </c>
    </row>
    <row r="196" spans="5:14" x14ac:dyDescent="0.25">
      <c r="E196" t="str">
        <v/>
      </c>
      <c r="F196" t="str">
        <v/>
      </c>
      <c r="I196" t="str">
        <v/>
      </c>
      <c r="J196" t="str">
        <v/>
      </c>
      <c r="K196" t="str">
        <v/>
      </c>
      <c r="L196" t="str">
        <v/>
      </c>
      <c r="M196" t="str">
        <v/>
      </c>
      <c r="N196" t="str">
        <v/>
      </c>
    </row>
    <row r="197" spans="5:14" x14ac:dyDescent="0.25">
      <c r="E197" t="str">
        <v/>
      </c>
      <c r="F197" t="str">
        <v/>
      </c>
      <c r="I197" t="str">
        <v/>
      </c>
      <c r="J197" t="str">
        <v/>
      </c>
      <c r="K197" t="str">
        <v/>
      </c>
      <c r="L197" t="str">
        <v/>
      </c>
      <c r="M197" t="str">
        <v/>
      </c>
      <c r="N197" t="str">
        <v/>
      </c>
    </row>
    <row r="198" spans="5:14" x14ac:dyDescent="0.25">
      <c r="E198" t="str">
        <v/>
      </c>
      <c r="F198" t="str">
        <v/>
      </c>
      <c r="I198" t="str">
        <v/>
      </c>
      <c r="J198" t="str">
        <v/>
      </c>
      <c r="K198" t="str">
        <v/>
      </c>
      <c r="L198" t="str">
        <v/>
      </c>
      <c r="M198" t="str">
        <v/>
      </c>
      <c r="N198" t="str">
        <v/>
      </c>
    </row>
    <row r="199" spans="5:14" x14ac:dyDescent="0.25">
      <c r="E199" t="str">
        <v/>
      </c>
      <c r="F199" t="str">
        <v/>
      </c>
      <c r="I199" t="str">
        <v/>
      </c>
      <c r="J199" t="str">
        <v/>
      </c>
      <c r="K199" t="str">
        <v/>
      </c>
      <c r="L199" t="str">
        <v/>
      </c>
      <c r="M199" t="str">
        <v/>
      </c>
      <c r="N199" t="str">
        <v/>
      </c>
    </row>
    <row r="200" spans="5:14" x14ac:dyDescent="0.25">
      <c r="E200" t="str">
        <v/>
      </c>
      <c r="F200" t="str">
        <v/>
      </c>
      <c r="I200" t="str">
        <v/>
      </c>
      <c r="J200" t="str">
        <v/>
      </c>
      <c r="K200" t="str">
        <v/>
      </c>
      <c r="L200" t="str">
        <v/>
      </c>
      <c r="M200" t="str">
        <v/>
      </c>
      <c r="N200" t="str">
        <v/>
      </c>
    </row>
    <row r="201" spans="5:14" x14ac:dyDescent="0.25">
      <c r="E201" t="str">
        <v/>
      </c>
      <c r="F201" t="str">
        <v/>
      </c>
      <c r="I201" t="str">
        <v/>
      </c>
      <c r="J201" t="str">
        <v/>
      </c>
      <c r="K201" t="str">
        <v/>
      </c>
      <c r="L201" t="str">
        <v/>
      </c>
      <c r="M201" t="str">
        <v/>
      </c>
      <c r="N201" t="str">
        <v/>
      </c>
    </row>
    <row r="202" spans="5:14" x14ac:dyDescent="0.25">
      <c r="E202" t="str">
        <v/>
      </c>
      <c r="F202" t="str">
        <v/>
      </c>
      <c r="I202" t="str">
        <v/>
      </c>
      <c r="J202" t="str">
        <v/>
      </c>
      <c r="K202" t="str">
        <v/>
      </c>
      <c r="L202" t="str">
        <v/>
      </c>
      <c r="M202" t="str">
        <v/>
      </c>
      <c r="N202" t="str">
        <v/>
      </c>
    </row>
    <row r="203" spans="5:14" x14ac:dyDescent="0.25">
      <c r="E203" t="str">
        <v/>
      </c>
      <c r="F203" t="str">
        <v/>
      </c>
      <c r="I203" t="str">
        <v/>
      </c>
      <c r="J203" t="str">
        <v/>
      </c>
      <c r="K203" t="str">
        <v/>
      </c>
      <c r="L203" t="str">
        <v/>
      </c>
      <c r="M203" t="str">
        <v/>
      </c>
      <c r="N203" t="str">
        <v/>
      </c>
    </row>
    <row r="204" spans="5:14" x14ac:dyDescent="0.25">
      <c r="E204" t="str">
        <v/>
      </c>
      <c r="F204" t="str">
        <v/>
      </c>
      <c r="I204" t="str">
        <v/>
      </c>
      <c r="J204" t="str">
        <v/>
      </c>
      <c r="K204" t="str">
        <v/>
      </c>
      <c r="L204" t="str">
        <v/>
      </c>
      <c r="M204" t="str">
        <v/>
      </c>
      <c r="N204" t="str">
        <v/>
      </c>
    </row>
    <row r="205" spans="5:14" x14ac:dyDescent="0.25">
      <c r="E205" t="str">
        <v/>
      </c>
      <c r="F205" t="str">
        <v/>
      </c>
      <c r="I205" t="str">
        <v/>
      </c>
      <c r="J205" t="str">
        <v/>
      </c>
      <c r="K205" t="str">
        <v/>
      </c>
      <c r="L205" t="str">
        <v/>
      </c>
      <c r="M205" t="str">
        <v/>
      </c>
      <c r="N205" t="str">
        <v/>
      </c>
    </row>
    <row r="206" spans="5:14" x14ac:dyDescent="0.25">
      <c r="E206" t="str">
        <v/>
      </c>
      <c r="F206" t="str">
        <v/>
      </c>
      <c r="I206" t="str">
        <v/>
      </c>
      <c r="J206" t="str">
        <v/>
      </c>
      <c r="K206" t="str">
        <v/>
      </c>
      <c r="L206" t="str">
        <v/>
      </c>
      <c r="M206" t="str">
        <v/>
      </c>
      <c r="N206" t="str">
        <v/>
      </c>
    </row>
    <row r="207" spans="5:14" x14ac:dyDescent="0.25">
      <c r="E207" t="str">
        <v/>
      </c>
      <c r="F207" t="str">
        <v/>
      </c>
      <c r="I207" t="str">
        <v/>
      </c>
      <c r="J207" t="str">
        <v/>
      </c>
      <c r="K207" t="str">
        <v/>
      </c>
      <c r="L207" t="str">
        <v/>
      </c>
      <c r="M207" t="str">
        <v/>
      </c>
      <c r="N207" t="str">
        <v/>
      </c>
    </row>
    <row r="208" spans="5:14" x14ac:dyDescent="0.25">
      <c r="E208" t="str">
        <v/>
      </c>
      <c r="F208" t="str">
        <v/>
      </c>
      <c r="I208" t="str">
        <v/>
      </c>
      <c r="J208" t="str">
        <v/>
      </c>
      <c r="K208" t="str">
        <v/>
      </c>
      <c r="L208" t="str">
        <v/>
      </c>
      <c r="M208" t="str">
        <v/>
      </c>
      <c r="N208" t="str">
        <v/>
      </c>
    </row>
    <row r="209" spans="5:14" x14ac:dyDescent="0.25">
      <c r="E209" t="str">
        <v/>
      </c>
      <c r="F209" t="str">
        <v/>
      </c>
      <c r="I209" t="str">
        <v/>
      </c>
      <c r="J209" t="str">
        <v/>
      </c>
      <c r="K209" t="str">
        <v/>
      </c>
      <c r="L209" t="str">
        <v/>
      </c>
      <c r="M209" t="str">
        <v/>
      </c>
      <c r="N209" t="str">
        <v/>
      </c>
    </row>
    <row r="210" spans="5:14" x14ac:dyDescent="0.25">
      <c r="E210" t="str">
        <v/>
      </c>
      <c r="F210" t="str">
        <v/>
      </c>
      <c r="I210" t="str">
        <v/>
      </c>
      <c r="J210" t="str">
        <v/>
      </c>
      <c r="K210" t="str">
        <v/>
      </c>
      <c r="L210" t="str">
        <v/>
      </c>
      <c r="M210" t="str">
        <v/>
      </c>
      <c r="N210" t="str">
        <v/>
      </c>
    </row>
    <row r="211" spans="5:14" x14ac:dyDescent="0.25">
      <c r="E211" t="str">
        <v/>
      </c>
      <c r="F211" t="str">
        <v/>
      </c>
      <c r="I211" t="str">
        <v/>
      </c>
      <c r="J211" t="str">
        <v/>
      </c>
      <c r="K211" t="str">
        <v/>
      </c>
      <c r="L211" t="str">
        <v/>
      </c>
      <c r="M211" t="str">
        <v/>
      </c>
      <c r="N211" t="str">
        <v/>
      </c>
    </row>
    <row r="212" spans="5:14" x14ac:dyDescent="0.25">
      <c r="E212" t="str">
        <v/>
      </c>
      <c r="F212" t="str">
        <v/>
      </c>
      <c r="I212" t="str">
        <v/>
      </c>
      <c r="J212" t="str">
        <v/>
      </c>
      <c r="K212" t="str">
        <v/>
      </c>
      <c r="L212" t="str">
        <v/>
      </c>
      <c r="M212" t="str">
        <v/>
      </c>
      <c r="N212" t="str">
        <v/>
      </c>
    </row>
    <row r="213" spans="5:14" x14ac:dyDescent="0.25">
      <c r="E213" t="str">
        <v/>
      </c>
      <c r="F213" t="str">
        <v/>
      </c>
      <c r="I213" t="str">
        <v/>
      </c>
      <c r="J213" t="str">
        <v/>
      </c>
      <c r="K213" t="str">
        <v/>
      </c>
      <c r="L213" t="str">
        <v/>
      </c>
      <c r="M213" t="str">
        <v/>
      </c>
      <c r="N213" t="str">
        <v/>
      </c>
    </row>
    <row r="214" spans="5:14" x14ac:dyDescent="0.25">
      <c r="E214" t="str">
        <v/>
      </c>
      <c r="F214" t="str">
        <v/>
      </c>
      <c r="I214" t="str">
        <v/>
      </c>
      <c r="J214" t="str">
        <v/>
      </c>
      <c r="K214" t="str">
        <v/>
      </c>
      <c r="L214" t="str">
        <v/>
      </c>
      <c r="M214" t="str">
        <v/>
      </c>
      <c r="N214" t="str">
        <v/>
      </c>
    </row>
    <row r="215" spans="5:14" x14ac:dyDescent="0.25">
      <c r="E215" t="str">
        <v/>
      </c>
      <c r="F215" t="str">
        <v/>
      </c>
      <c r="I215" t="str">
        <v/>
      </c>
      <c r="J215" t="str">
        <v/>
      </c>
      <c r="K215" t="str">
        <v/>
      </c>
      <c r="L215" t="str">
        <v/>
      </c>
      <c r="M215" t="str">
        <v/>
      </c>
      <c r="N215" t="str">
        <v/>
      </c>
    </row>
    <row r="216" spans="5:14" x14ac:dyDescent="0.25">
      <c r="E216" t="str">
        <v/>
      </c>
      <c r="F216" t="str">
        <v/>
      </c>
      <c r="I216" t="str">
        <v/>
      </c>
      <c r="J216" t="str">
        <v/>
      </c>
      <c r="K216" t="str">
        <v/>
      </c>
      <c r="L216" t="str">
        <v/>
      </c>
      <c r="M216" t="str">
        <v/>
      </c>
      <c r="N216" t="str">
        <v/>
      </c>
    </row>
    <row r="217" spans="5:14" x14ac:dyDescent="0.25">
      <c r="E217" t="str">
        <v/>
      </c>
      <c r="F217" t="str">
        <v/>
      </c>
      <c r="I217" t="str">
        <v/>
      </c>
      <c r="J217" t="str">
        <v/>
      </c>
      <c r="K217" t="str">
        <v/>
      </c>
      <c r="L217" t="str">
        <v/>
      </c>
      <c r="M217" t="str">
        <v/>
      </c>
      <c r="N217" t="str">
        <v/>
      </c>
    </row>
    <row r="218" spans="5:14" x14ac:dyDescent="0.25">
      <c r="E218" t="str">
        <v/>
      </c>
      <c r="F218" t="str">
        <v/>
      </c>
      <c r="I218" t="str">
        <v/>
      </c>
      <c r="J218" t="str">
        <v/>
      </c>
      <c r="K218" t="str">
        <v/>
      </c>
      <c r="L218" t="str">
        <v/>
      </c>
      <c r="M218" t="str">
        <v/>
      </c>
      <c r="N218" t="str">
        <v/>
      </c>
    </row>
    <row r="219" spans="5:14" x14ac:dyDescent="0.25">
      <c r="E219" t="str">
        <v/>
      </c>
      <c r="F219" t="str">
        <v/>
      </c>
      <c r="I219" t="str">
        <v/>
      </c>
      <c r="J219" t="str">
        <v/>
      </c>
      <c r="K219" t="str">
        <v/>
      </c>
      <c r="L219" t="str">
        <v/>
      </c>
      <c r="M219" t="str">
        <v/>
      </c>
      <c r="N219" t="str">
        <v/>
      </c>
    </row>
    <row r="220" spans="5:14" x14ac:dyDescent="0.25">
      <c r="E220" t="str">
        <v/>
      </c>
      <c r="F220" t="str">
        <v/>
      </c>
      <c r="I220" t="str">
        <v/>
      </c>
      <c r="J220" t="str">
        <v/>
      </c>
      <c r="K220" t="str">
        <v/>
      </c>
      <c r="L220" t="str">
        <v/>
      </c>
      <c r="M220" t="str">
        <v/>
      </c>
      <c r="N220" t="str">
        <v/>
      </c>
    </row>
    <row r="221" spans="5:14" x14ac:dyDescent="0.25">
      <c r="E221" t="str">
        <v/>
      </c>
      <c r="F221" t="str">
        <v/>
      </c>
      <c r="I221" t="str">
        <v/>
      </c>
      <c r="J221" t="str">
        <v/>
      </c>
      <c r="K221" t="str">
        <v/>
      </c>
      <c r="L221" t="str">
        <v/>
      </c>
      <c r="M221" t="str">
        <v/>
      </c>
      <c r="N221" t="str">
        <v/>
      </c>
    </row>
    <row r="222" spans="5:14" x14ac:dyDescent="0.25">
      <c r="E222" t="str">
        <v/>
      </c>
      <c r="F222" t="str">
        <v/>
      </c>
      <c r="I222" t="str">
        <v/>
      </c>
      <c r="J222" t="str">
        <v/>
      </c>
      <c r="K222" t="str">
        <v/>
      </c>
      <c r="L222" t="str">
        <v/>
      </c>
      <c r="M222" t="str">
        <v/>
      </c>
      <c r="N222" t="str">
        <v/>
      </c>
    </row>
    <row r="223" spans="5:14" x14ac:dyDescent="0.25">
      <c r="E223" t="str">
        <v/>
      </c>
      <c r="F223" t="str">
        <v/>
      </c>
      <c r="I223" t="str">
        <v/>
      </c>
      <c r="J223" t="str">
        <v/>
      </c>
      <c r="K223" t="str">
        <v/>
      </c>
      <c r="L223" t="str">
        <v/>
      </c>
      <c r="M223" t="str">
        <v/>
      </c>
      <c r="N223" t="str">
        <v/>
      </c>
    </row>
    <row r="224" spans="5:14" x14ac:dyDescent="0.25">
      <c r="E224" t="str">
        <v/>
      </c>
      <c r="F224" t="str">
        <v/>
      </c>
      <c r="I224" t="str">
        <v/>
      </c>
      <c r="J224" t="str">
        <v/>
      </c>
      <c r="K224" t="str">
        <v/>
      </c>
      <c r="L224" t="str">
        <v/>
      </c>
      <c r="M224" t="str">
        <v/>
      </c>
      <c r="N224" t="str">
        <v/>
      </c>
    </row>
    <row r="225" spans="5:14" x14ac:dyDescent="0.25">
      <c r="E225" t="str">
        <v/>
      </c>
      <c r="F225" t="str">
        <v/>
      </c>
      <c r="I225" t="str">
        <v/>
      </c>
      <c r="J225" t="str">
        <v/>
      </c>
      <c r="K225" t="str">
        <v/>
      </c>
      <c r="L225" t="str">
        <v/>
      </c>
      <c r="M225" t="str">
        <v/>
      </c>
      <c r="N225" t="str">
        <v/>
      </c>
    </row>
    <row r="226" spans="5:14" x14ac:dyDescent="0.25">
      <c r="E226" t="str">
        <v/>
      </c>
      <c r="F226" t="str">
        <v/>
      </c>
      <c r="I226" t="str">
        <v/>
      </c>
      <c r="J226" t="str">
        <v/>
      </c>
      <c r="K226" t="str">
        <v/>
      </c>
      <c r="L226" t="str">
        <v/>
      </c>
      <c r="M226" t="str">
        <v/>
      </c>
      <c r="N226" t="str">
        <v/>
      </c>
    </row>
    <row r="227" spans="5:14" x14ac:dyDescent="0.25">
      <c r="E227" t="str">
        <v/>
      </c>
      <c r="F227" t="str">
        <v/>
      </c>
      <c r="I227" t="str">
        <v/>
      </c>
      <c r="J227" t="str">
        <v/>
      </c>
      <c r="K227" t="str">
        <v/>
      </c>
      <c r="L227" t="str">
        <v/>
      </c>
      <c r="M227" t="str">
        <v/>
      </c>
      <c r="N227" t="str">
        <v/>
      </c>
    </row>
    <row r="228" spans="5:14" x14ac:dyDescent="0.25">
      <c r="E228" t="str">
        <v/>
      </c>
      <c r="F228" t="str">
        <v/>
      </c>
      <c r="I228" t="str">
        <v/>
      </c>
      <c r="J228" t="str">
        <v/>
      </c>
      <c r="K228" t="str">
        <v/>
      </c>
      <c r="L228" t="str">
        <v/>
      </c>
      <c r="M228" t="str">
        <v/>
      </c>
      <c r="N228" t="str">
        <v/>
      </c>
    </row>
    <row r="229" spans="5:14" x14ac:dyDescent="0.25">
      <c r="E229" t="str">
        <v/>
      </c>
      <c r="F229" t="str">
        <v/>
      </c>
      <c r="I229" t="str">
        <v/>
      </c>
      <c r="J229" t="str">
        <v/>
      </c>
      <c r="K229" t="str">
        <v/>
      </c>
      <c r="L229" t="str">
        <v/>
      </c>
      <c r="M229" t="str">
        <v/>
      </c>
      <c r="N229" t="str">
        <v/>
      </c>
    </row>
    <row r="230" spans="5:14" x14ac:dyDescent="0.25">
      <c r="E230" t="str">
        <v/>
      </c>
      <c r="F230" t="str">
        <v/>
      </c>
      <c r="I230" t="str">
        <v/>
      </c>
      <c r="J230" t="str">
        <v/>
      </c>
      <c r="K230" t="str">
        <v/>
      </c>
      <c r="L230" t="str">
        <v/>
      </c>
      <c r="M230" t="str">
        <v/>
      </c>
      <c r="N230" t="str">
        <v/>
      </c>
    </row>
    <row r="231" spans="5:14" x14ac:dyDescent="0.25">
      <c r="E231" t="str">
        <v/>
      </c>
      <c r="F231" t="str">
        <v/>
      </c>
      <c r="I231" t="str">
        <v/>
      </c>
      <c r="J231" t="str">
        <v/>
      </c>
      <c r="K231" t="str">
        <v/>
      </c>
      <c r="L231" t="str">
        <v/>
      </c>
      <c r="M231" t="str">
        <v/>
      </c>
      <c r="N231" t="str">
        <v/>
      </c>
    </row>
    <row r="232" spans="5:14" x14ac:dyDescent="0.25">
      <c r="E232" t="str">
        <v/>
      </c>
      <c r="F232" t="str">
        <v/>
      </c>
      <c r="I232" t="str">
        <v/>
      </c>
      <c r="J232" t="str">
        <v/>
      </c>
      <c r="K232" t="str">
        <v/>
      </c>
      <c r="L232" t="str">
        <v/>
      </c>
      <c r="M232" t="str">
        <v/>
      </c>
      <c r="N232" t="str">
        <v/>
      </c>
    </row>
    <row r="233" spans="5:14" x14ac:dyDescent="0.25">
      <c r="E233" t="str">
        <v/>
      </c>
      <c r="F233" t="str">
        <v/>
      </c>
      <c r="I233" t="str">
        <v/>
      </c>
      <c r="J233" t="str">
        <v/>
      </c>
      <c r="K233" t="str">
        <v/>
      </c>
      <c r="L233" t="str">
        <v/>
      </c>
      <c r="M233" t="str">
        <v/>
      </c>
      <c r="N233" t="str">
        <v/>
      </c>
    </row>
    <row r="234" spans="5:14" x14ac:dyDescent="0.25">
      <c r="E234" t="str">
        <v/>
      </c>
      <c r="F234" t="str">
        <v/>
      </c>
      <c r="I234" t="str">
        <v/>
      </c>
      <c r="J234" t="str">
        <v/>
      </c>
      <c r="K234" t="str">
        <v/>
      </c>
      <c r="L234" t="str">
        <v/>
      </c>
      <c r="M234" t="str">
        <v/>
      </c>
      <c r="N234" t="str">
        <v/>
      </c>
    </row>
    <row r="235" spans="5:14" x14ac:dyDescent="0.25">
      <c r="E235" t="str">
        <v/>
      </c>
      <c r="F235" t="str">
        <v/>
      </c>
      <c r="I235" t="str">
        <v/>
      </c>
      <c r="J235" t="str">
        <v/>
      </c>
      <c r="K235" t="str">
        <v/>
      </c>
      <c r="L235" t="str">
        <v/>
      </c>
      <c r="M235" t="str">
        <v/>
      </c>
      <c r="N235" t="str">
        <v/>
      </c>
    </row>
    <row r="236" spans="5:14" x14ac:dyDescent="0.25">
      <c r="E236" t="str">
        <v/>
      </c>
      <c r="F236" t="str">
        <v/>
      </c>
      <c r="I236" t="str">
        <v/>
      </c>
      <c r="J236" t="str">
        <v/>
      </c>
      <c r="K236" t="str">
        <v/>
      </c>
      <c r="L236" t="str">
        <v/>
      </c>
      <c r="M236" t="str">
        <v/>
      </c>
      <c r="N236" t="str">
        <v/>
      </c>
    </row>
    <row r="237" spans="5:14" x14ac:dyDescent="0.25">
      <c r="E237" t="str">
        <v/>
      </c>
      <c r="F237" t="str">
        <v/>
      </c>
      <c r="I237" t="str">
        <v/>
      </c>
      <c r="J237" t="str">
        <v/>
      </c>
      <c r="K237" t="str">
        <v/>
      </c>
      <c r="L237" t="str">
        <v/>
      </c>
      <c r="M237" t="str">
        <v/>
      </c>
      <c r="N237" t="str">
        <v/>
      </c>
    </row>
    <row r="238" spans="5:14" x14ac:dyDescent="0.25">
      <c r="E238" t="str">
        <v/>
      </c>
      <c r="F238" t="str">
        <v/>
      </c>
      <c r="I238" t="str">
        <v/>
      </c>
      <c r="J238" t="str">
        <v/>
      </c>
      <c r="K238" t="str">
        <v/>
      </c>
      <c r="L238" t="str">
        <v/>
      </c>
      <c r="M238" t="str">
        <v/>
      </c>
      <c r="N238" t="str">
        <v/>
      </c>
    </row>
    <row r="239" spans="5:14" x14ac:dyDescent="0.25">
      <c r="E239" t="str">
        <v/>
      </c>
      <c r="F239" t="str">
        <v/>
      </c>
      <c r="I239" t="str">
        <v/>
      </c>
      <c r="J239" t="str">
        <v/>
      </c>
      <c r="K239" t="str">
        <v/>
      </c>
      <c r="L239" t="str">
        <v/>
      </c>
      <c r="M239" t="str">
        <v/>
      </c>
      <c r="N239" t="str">
        <v/>
      </c>
    </row>
    <row r="240" spans="5:14" x14ac:dyDescent="0.25">
      <c r="E240" t="str">
        <v/>
      </c>
      <c r="F240" t="str">
        <v/>
      </c>
      <c r="I240" t="str">
        <v/>
      </c>
      <c r="J240" t="str">
        <v/>
      </c>
      <c r="K240" t="str">
        <v/>
      </c>
      <c r="L240" t="str">
        <v/>
      </c>
      <c r="M240" t="str">
        <v/>
      </c>
      <c r="N240" t="str">
        <v/>
      </c>
    </row>
    <row r="241" spans="5:14" x14ac:dyDescent="0.25">
      <c r="E241" t="str">
        <v/>
      </c>
      <c r="F241" t="str">
        <v/>
      </c>
      <c r="I241" t="str">
        <v/>
      </c>
      <c r="J241" t="str">
        <v/>
      </c>
      <c r="K241" t="str">
        <v/>
      </c>
      <c r="L241" t="str">
        <v/>
      </c>
      <c r="M241" t="str">
        <v/>
      </c>
      <c r="N241" t="str">
        <v/>
      </c>
    </row>
    <row r="242" spans="5:14" x14ac:dyDescent="0.25">
      <c r="E242" t="str">
        <v/>
      </c>
      <c r="F242" t="str">
        <v/>
      </c>
      <c r="I242" t="str">
        <v/>
      </c>
      <c r="J242" t="str">
        <v/>
      </c>
      <c r="K242" t="str">
        <v/>
      </c>
      <c r="L242" t="str">
        <v/>
      </c>
      <c r="M242" t="str">
        <v/>
      </c>
      <c r="N242" t="str">
        <v/>
      </c>
    </row>
    <row r="243" spans="5:14" x14ac:dyDescent="0.25">
      <c r="E243" t="str">
        <v/>
      </c>
      <c r="F243" t="str">
        <v/>
      </c>
      <c r="I243" t="str">
        <v/>
      </c>
      <c r="J243" t="str">
        <v/>
      </c>
      <c r="K243" t="str">
        <v/>
      </c>
      <c r="L243" t="str">
        <v/>
      </c>
      <c r="M243" t="str">
        <v/>
      </c>
      <c r="N243" t="str">
        <v/>
      </c>
    </row>
    <row r="244" spans="5:14" x14ac:dyDescent="0.25">
      <c r="E244" t="str">
        <v/>
      </c>
      <c r="F244" t="str">
        <v/>
      </c>
      <c r="I244" t="str">
        <v/>
      </c>
      <c r="J244" t="str">
        <v/>
      </c>
      <c r="K244" t="str">
        <v/>
      </c>
      <c r="L244" t="str">
        <v/>
      </c>
      <c r="M244" t="str">
        <v/>
      </c>
      <c r="N244" t="str">
        <v/>
      </c>
    </row>
    <row r="245" spans="5:14" x14ac:dyDescent="0.25">
      <c r="E245" t="str">
        <v/>
      </c>
      <c r="F245" t="str">
        <v/>
      </c>
      <c r="I245" t="str">
        <v/>
      </c>
      <c r="J245" t="str">
        <v/>
      </c>
      <c r="K245" t="str">
        <v/>
      </c>
      <c r="L245" t="str">
        <v/>
      </c>
      <c r="M245" t="str">
        <v/>
      </c>
      <c r="N245" t="str">
        <v/>
      </c>
    </row>
    <row r="246" spans="5:14" x14ac:dyDescent="0.25">
      <c r="E246" t="str">
        <v/>
      </c>
      <c r="F246" t="str">
        <v/>
      </c>
      <c r="I246" t="str">
        <v/>
      </c>
      <c r="J246" t="str">
        <v/>
      </c>
      <c r="K246" t="str">
        <v/>
      </c>
      <c r="L246" t="str">
        <v/>
      </c>
      <c r="M246" t="str">
        <v/>
      </c>
      <c r="N246" t="str">
        <v/>
      </c>
    </row>
    <row r="247" spans="5:14" x14ac:dyDescent="0.25">
      <c r="E247" t="str">
        <v/>
      </c>
      <c r="F247" t="str">
        <v/>
      </c>
      <c r="I247" t="str">
        <v/>
      </c>
      <c r="J247" t="str">
        <v/>
      </c>
      <c r="K247" t="str">
        <v/>
      </c>
      <c r="L247" t="str">
        <v/>
      </c>
      <c r="M247" t="str">
        <v/>
      </c>
      <c r="N247" t="str">
        <v/>
      </c>
    </row>
    <row r="248" spans="5:14" x14ac:dyDescent="0.25">
      <c r="E248" t="str">
        <v/>
      </c>
      <c r="F248" t="str">
        <v/>
      </c>
      <c r="I248" t="str">
        <v/>
      </c>
      <c r="J248" t="str">
        <v/>
      </c>
      <c r="K248" t="str">
        <v/>
      </c>
      <c r="L248" t="str">
        <v/>
      </c>
      <c r="M248" t="str">
        <v/>
      </c>
      <c r="N248" t="str">
        <v/>
      </c>
    </row>
    <row r="249" spans="5:14" x14ac:dyDescent="0.25">
      <c r="E249" t="str">
        <v/>
      </c>
      <c r="F249" t="str">
        <v/>
      </c>
      <c r="I249" t="str">
        <v/>
      </c>
      <c r="J249" t="str">
        <v/>
      </c>
      <c r="K249" t="str">
        <v/>
      </c>
      <c r="L249" t="str">
        <v/>
      </c>
      <c r="M249" t="str">
        <v/>
      </c>
      <c r="N249" t="str">
        <v/>
      </c>
    </row>
    <row r="250" spans="5:14" x14ac:dyDescent="0.25">
      <c r="E250" t="str">
        <v/>
      </c>
      <c r="F250" t="str">
        <v/>
      </c>
      <c r="I250" t="str">
        <v/>
      </c>
      <c r="J250" t="str">
        <v/>
      </c>
      <c r="K250" t="str">
        <v/>
      </c>
      <c r="L250" t="str">
        <v/>
      </c>
      <c r="M250" t="str">
        <v/>
      </c>
      <c r="N250" t="str">
        <v/>
      </c>
    </row>
    <row r="251" spans="5:14" x14ac:dyDescent="0.25">
      <c r="E251" t="str">
        <v/>
      </c>
      <c r="F251" t="str">
        <v/>
      </c>
      <c r="I251" t="str">
        <v/>
      </c>
      <c r="J251" t="str">
        <v/>
      </c>
      <c r="K251" t="str">
        <v/>
      </c>
      <c r="L251" t="str">
        <v/>
      </c>
      <c r="M251" t="str">
        <v/>
      </c>
      <c r="N251" t="str">
        <v/>
      </c>
    </row>
    <row r="252" spans="5:14" x14ac:dyDescent="0.25">
      <c r="E252" t="str">
        <v/>
      </c>
      <c r="F252" t="str">
        <v/>
      </c>
      <c r="I252" t="str">
        <v/>
      </c>
      <c r="J252" t="str">
        <v/>
      </c>
      <c r="K252" t="str">
        <v/>
      </c>
      <c r="L252" t="str">
        <v/>
      </c>
      <c r="M252" t="str">
        <v/>
      </c>
      <c r="N252" t="str">
        <v/>
      </c>
    </row>
    <row r="253" spans="5:14" x14ac:dyDescent="0.25">
      <c r="E253" t="str">
        <v/>
      </c>
      <c r="F253" t="str">
        <v/>
      </c>
      <c r="I253" t="str">
        <v/>
      </c>
      <c r="J253" t="str">
        <v/>
      </c>
      <c r="K253" t="str">
        <v/>
      </c>
      <c r="L253" t="str">
        <v/>
      </c>
      <c r="M253" t="str">
        <v/>
      </c>
      <c r="N253" t="str">
        <v/>
      </c>
    </row>
    <row r="254" spans="5:14" x14ac:dyDescent="0.25">
      <c r="E254" t="str">
        <v/>
      </c>
      <c r="F254" t="str">
        <v/>
      </c>
      <c r="I254" t="str">
        <v/>
      </c>
      <c r="J254" t="str">
        <v/>
      </c>
      <c r="K254" t="str">
        <v/>
      </c>
      <c r="L254" t="str">
        <v/>
      </c>
      <c r="M254" t="str">
        <v/>
      </c>
      <c r="N254" t="str">
        <v/>
      </c>
    </row>
    <row r="255" spans="5:14" x14ac:dyDescent="0.25">
      <c r="E255" t="str">
        <v/>
      </c>
      <c r="F255" t="str">
        <v/>
      </c>
      <c r="I255" t="str">
        <v/>
      </c>
      <c r="J255" t="str">
        <v/>
      </c>
      <c r="K255" t="str">
        <v/>
      </c>
      <c r="L255" t="str">
        <v/>
      </c>
      <c r="M255" t="str">
        <v/>
      </c>
      <c r="N255" t="str">
        <v/>
      </c>
    </row>
    <row r="256" spans="5:14" x14ac:dyDescent="0.25">
      <c r="E256" t="str">
        <v/>
      </c>
      <c r="F256" t="str">
        <v/>
      </c>
      <c r="I256" t="str">
        <v/>
      </c>
      <c r="J256" t="str">
        <v/>
      </c>
      <c r="K256" t="str">
        <v/>
      </c>
      <c r="L256" t="str">
        <v/>
      </c>
      <c r="M256" t="str">
        <v/>
      </c>
      <c r="N256" t="str">
        <v/>
      </c>
    </row>
    <row r="257" spans="5:14" x14ac:dyDescent="0.25">
      <c r="E257" t="str">
        <v/>
      </c>
      <c r="F257" t="str">
        <v/>
      </c>
      <c r="I257" t="str">
        <v/>
      </c>
      <c r="J257" t="str">
        <v/>
      </c>
      <c r="K257" t="str">
        <v/>
      </c>
      <c r="L257" t="str">
        <v/>
      </c>
      <c r="M257" t="str">
        <v/>
      </c>
      <c r="N257" t="str">
        <v/>
      </c>
    </row>
    <row r="258" spans="5:14" x14ac:dyDescent="0.25">
      <c r="E258" t="str">
        <v/>
      </c>
      <c r="F258" t="str">
        <v/>
      </c>
      <c r="I258" t="str">
        <v/>
      </c>
      <c r="J258" t="str">
        <v/>
      </c>
      <c r="K258" t="str">
        <v/>
      </c>
      <c r="L258" t="str">
        <v/>
      </c>
      <c r="M258" t="str">
        <v/>
      </c>
      <c r="N258" t="str">
        <v/>
      </c>
    </row>
    <row r="259" spans="5:14" x14ac:dyDescent="0.25">
      <c r="E259" t="str">
        <v/>
      </c>
      <c r="F259" t="str">
        <v/>
      </c>
      <c r="I259" t="str">
        <v/>
      </c>
      <c r="J259" t="str">
        <v/>
      </c>
      <c r="K259" t="str">
        <v/>
      </c>
      <c r="L259" t="str">
        <v/>
      </c>
      <c r="M259" t="str">
        <v/>
      </c>
      <c r="N259" t="str">
        <v/>
      </c>
    </row>
    <row r="260" spans="5:14" x14ac:dyDescent="0.25">
      <c r="E260" t="str">
        <v/>
      </c>
      <c r="F260" t="str">
        <v/>
      </c>
      <c r="I260" t="str">
        <v/>
      </c>
      <c r="J260" t="str">
        <v/>
      </c>
      <c r="K260" t="str">
        <v/>
      </c>
      <c r="L260" t="str">
        <v/>
      </c>
      <c r="M260" t="str">
        <v/>
      </c>
      <c r="N260" t="str">
        <v/>
      </c>
    </row>
    <row r="261" spans="5:14" x14ac:dyDescent="0.25">
      <c r="E261" t="str">
        <v/>
      </c>
      <c r="F261" t="str">
        <v/>
      </c>
      <c r="I261" t="str">
        <v/>
      </c>
      <c r="J261" t="str">
        <v/>
      </c>
      <c r="K261" t="str">
        <v/>
      </c>
      <c r="L261" t="str">
        <v/>
      </c>
      <c r="M261" t="str">
        <v/>
      </c>
      <c r="N261" t="str">
        <v/>
      </c>
    </row>
    <row r="262" spans="5:14" x14ac:dyDescent="0.25">
      <c r="E262" t="str">
        <v/>
      </c>
      <c r="F262" t="str">
        <v/>
      </c>
      <c r="I262" t="str">
        <v/>
      </c>
      <c r="J262" t="str">
        <v/>
      </c>
      <c r="K262" t="str">
        <v/>
      </c>
      <c r="L262" t="str">
        <v/>
      </c>
      <c r="M262" t="str">
        <v/>
      </c>
      <c r="N262" t="str">
        <v/>
      </c>
    </row>
    <row r="263" spans="5:14" x14ac:dyDescent="0.25">
      <c r="E263" t="str">
        <v/>
      </c>
      <c r="F263" t="str">
        <v/>
      </c>
      <c r="I263" t="str">
        <v/>
      </c>
      <c r="J263" t="str">
        <v/>
      </c>
      <c r="K263" t="str">
        <v/>
      </c>
      <c r="L263" t="str">
        <v/>
      </c>
      <c r="M263" t="str">
        <v/>
      </c>
      <c r="N263" t="str">
        <v/>
      </c>
    </row>
    <row r="264" spans="5:14" x14ac:dyDescent="0.25">
      <c r="E264" t="str">
        <v/>
      </c>
      <c r="F264" t="str">
        <v/>
      </c>
      <c r="I264" t="str">
        <v/>
      </c>
      <c r="J264" t="str">
        <v/>
      </c>
      <c r="K264" t="str">
        <v/>
      </c>
      <c r="L264" t="str">
        <v/>
      </c>
      <c r="M264" t="str">
        <v/>
      </c>
      <c r="N264" t="str">
        <v/>
      </c>
    </row>
    <row r="265" spans="5:14" x14ac:dyDescent="0.25">
      <c r="E265" t="str">
        <v/>
      </c>
      <c r="F265" t="str">
        <v/>
      </c>
      <c r="I265" t="str">
        <v/>
      </c>
      <c r="J265" t="str">
        <v/>
      </c>
      <c r="K265" t="str">
        <v/>
      </c>
      <c r="L265" t="str">
        <v/>
      </c>
      <c r="M265" t="str">
        <v/>
      </c>
      <c r="N265" t="str">
        <v/>
      </c>
    </row>
    <row r="266" spans="5:14" x14ac:dyDescent="0.25">
      <c r="E266" t="str">
        <v/>
      </c>
      <c r="F266" t="str">
        <v/>
      </c>
      <c r="I266" t="str">
        <v/>
      </c>
      <c r="J266" t="str">
        <v/>
      </c>
      <c r="K266" t="str">
        <v/>
      </c>
      <c r="L266" t="str">
        <v/>
      </c>
      <c r="M266" t="str">
        <v/>
      </c>
      <c r="N266" t="str">
        <v/>
      </c>
    </row>
    <row r="267" spans="5:14" x14ac:dyDescent="0.25">
      <c r="E267" t="str">
        <v/>
      </c>
      <c r="F267" t="str">
        <v/>
      </c>
      <c r="I267" t="str">
        <v/>
      </c>
      <c r="J267" t="str">
        <v/>
      </c>
      <c r="K267" t="str">
        <v/>
      </c>
      <c r="L267" t="str">
        <v/>
      </c>
      <c r="M267" t="str">
        <v/>
      </c>
      <c r="N267" t="str">
        <v/>
      </c>
    </row>
    <row r="268" spans="5:14" x14ac:dyDescent="0.25">
      <c r="E268" t="str">
        <v/>
      </c>
      <c r="F268" t="str">
        <v/>
      </c>
      <c r="I268" t="str">
        <v/>
      </c>
      <c r="J268" t="str">
        <v/>
      </c>
      <c r="K268" t="str">
        <v/>
      </c>
      <c r="L268" t="str">
        <v/>
      </c>
      <c r="M268" t="str">
        <v/>
      </c>
      <c r="N268" t="str">
        <v/>
      </c>
    </row>
    <row r="269" spans="5:14" x14ac:dyDescent="0.25">
      <c r="E269" t="str">
        <v/>
      </c>
      <c r="F269" t="str">
        <v/>
      </c>
      <c r="I269" t="str">
        <v/>
      </c>
      <c r="J269" t="str">
        <v/>
      </c>
      <c r="K269" t="str">
        <v/>
      </c>
      <c r="L269" t="str">
        <v/>
      </c>
      <c r="M269" t="str">
        <v/>
      </c>
      <c r="N269" t="str">
        <v/>
      </c>
    </row>
    <row r="270" spans="5:14" x14ac:dyDescent="0.25">
      <c r="E270" t="str">
        <v/>
      </c>
      <c r="F270" t="str">
        <v/>
      </c>
      <c r="I270" t="str">
        <v/>
      </c>
      <c r="J270" t="str">
        <v/>
      </c>
      <c r="K270" t="str">
        <v/>
      </c>
      <c r="L270" t="str">
        <v/>
      </c>
      <c r="M270" t="str">
        <v/>
      </c>
      <c r="N270" t="str">
        <v/>
      </c>
    </row>
    <row r="271" spans="5:14" x14ac:dyDescent="0.25">
      <c r="E271" t="str">
        <v/>
      </c>
      <c r="F271" t="str">
        <v/>
      </c>
      <c r="I271" t="str">
        <v/>
      </c>
      <c r="J271" t="str">
        <v/>
      </c>
      <c r="K271" t="str">
        <v/>
      </c>
      <c r="L271" t="str">
        <v/>
      </c>
      <c r="M271" t="str">
        <v/>
      </c>
      <c r="N271" t="str">
        <v/>
      </c>
    </row>
    <row r="272" spans="5:14" x14ac:dyDescent="0.25">
      <c r="E272" t="str">
        <v/>
      </c>
      <c r="F272" t="str">
        <v/>
      </c>
      <c r="I272" t="str">
        <v/>
      </c>
      <c r="J272" t="str">
        <v/>
      </c>
      <c r="K272" t="str">
        <v/>
      </c>
      <c r="L272" t="str">
        <v/>
      </c>
      <c r="M272" t="str">
        <v/>
      </c>
      <c r="N272" t="str">
        <v/>
      </c>
    </row>
    <row r="273" spans="5:14" x14ac:dyDescent="0.25">
      <c r="E273" t="str">
        <v/>
      </c>
      <c r="F273" t="str">
        <v/>
      </c>
      <c r="I273" t="str">
        <v/>
      </c>
      <c r="J273" t="str">
        <v/>
      </c>
      <c r="K273" t="str">
        <v/>
      </c>
      <c r="L273" t="str">
        <v/>
      </c>
      <c r="M273" t="str">
        <v/>
      </c>
      <c r="N273" t="str">
        <v/>
      </c>
    </row>
    <row r="274" spans="5:14" x14ac:dyDescent="0.25">
      <c r="E274" t="str">
        <v/>
      </c>
      <c r="F274" t="str">
        <v/>
      </c>
      <c r="I274" t="str">
        <v/>
      </c>
      <c r="J274" t="str">
        <v/>
      </c>
      <c r="K274" t="str">
        <v/>
      </c>
      <c r="L274" t="str">
        <v/>
      </c>
      <c r="M274" t="str">
        <v/>
      </c>
      <c r="N274" t="str">
        <v/>
      </c>
    </row>
    <row r="275" spans="5:14" x14ac:dyDescent="0.25">
      <c r="E275" t="str">
        <v/>
      </c>
      <c r="F275" t="str">
        <v/>
      </c>
      <c r="I275" t="str">
        <v/>
      </c>
      <c r="J275" t="str">
        <v/>
      </c>
      <c r="K275" t="str">
        <v/>
      </c>
      <c r="L275" t="str">
        <v/>
      </c>
      <c r="M275" t="str">
        <v/>
      </c>
      <c r="N275" t="str">
        <v/>
      </c>
    </row>
    <row r="276" spans="5:14" x14ac:dyDescent="0.25">
      <c r="E276" t="str">
        <v/>
      </c>
      <c r="F276" t="str">
        <v/>
      </c>
      <c r="I276" t="str">
        <v/>
      </c>
      <c r="J276" t="str">
        <v/>
      </c>
      <c r="K276" t="str">
        <v/>
      </c>
      <c r="L276" t="str">
        <v/>
      </c>
      <c r="M276" t="str">
        <v/>
      </c>
      <c r="N276" t="str">
        <v/>
      </c>
    </row>
    <row r="277" spans="5:14" x14ac:dyDescent="0.25">
      <c r="E277" t="str">
        <v/>
      </c>
      <c r="F277" t="str">
        <v/>
      </c>
      <c r="I277" t="str">
        <v/>
      </c>
      <c r="J277" t="str">
        <v/>
      </c>
      <c r="K277" t="str">
        <v/>
      </c>
      <c r="L277" t="str">
        <v/>
      </c>
      <c r="M277" t="str">
        <v/>
      </c>
      <c r="N277" t="str">
        <v/>
      </c>
    </row>
    <row r="278" spans="5:14" x14ac:dyDescent="0.25">
      <c r="E278" t="str">
        <v/>
      </c>
      <c r="F278" t="str">
        <v/>
      </c>
      <c r="I278" t="str">
        <v/>
      </c>
      <c r="J278" t="str">
        <v/>
      </c>
      <c r="K278" t="str">
        <v/>
      </c>
      <c r="L278" t="str">
        <v/>
      </c>
      <c r="M278" t="str">
        <v/>
      </c>
      <c r="N278" t="str">
        <v/>
      </c>
    </row>
    <row r="279" spans="5:14" x14ac:dyDescent="0.25">
      <c r="E279" t="str">
        <v/>
      </c>
      <c r="F279" t="str">
        <v/>
      </c>
      <c r="I279" t="str">
        <v/>
      </c>
      <c r="J279" t="str">
        <v/>
      </c>
      <c r="K279" t="str">
        <v/>
      </c>
      <c r="L279" t="str">
        <v/>
      </c>
      <c r="M279" t="str">
        <v/>
      </c>
      <c r="N279" t="str">
        <v/>
      </c>
    </row>
    <row r="280" spans="5:14" x14ac:dyDescent="0.25">
      <c r="E280" t="str">
        <v/>
      </c>
      <c r="F280" t="str">
        <v/>
      </c>
      <c r="I280" t="str">
        <v/>
      </c>
      <c r="J280" t="str">
        <v/>
      </c>
      <c r="K280" t="str">
        <v/>
      </c>
      <c r="L280" t="str">
        <v/>
      </c>
      <c r="M280" t="str">
        <v/>
      </c>
      <c r="N280" t="str">
        <v/>
      </c>
    </row>
    <row r="281" spans="5:14" x14ac:dyDescent="0.25">
      <c r="E281" t="str">
        <v/>
      </c>
      <c r="F281" t="str">
        <v/>
      </c>
      <c r="I281" t="str">
        <v/>
      </c>
      <c r="J281" t="str">
        <v/>
      </c>
      <c r="K281" t="str">
        <v/>
      </c>
      <c r="L281" t="str">
        <v/>
      </c>
      <c r="M281" t="str">
        <v/>
      </c>
      <c r="N281" t="str">
        <v/>
      </c>
    </row>
    <row r="282" spans="5:14" x14ac:dyDescent="0.25">
      <c r="E282" t="str">
        <v/>
      </c>
      <c r="F282" t="str">
        <v/>
      </c>
      <c r="I282" t="str">
        <v/>
      </c>
      <c r="J282" t="str">
        <v/>
      </c>
      <c r="K282" t="str">
        <v/>
      </c>
      <c r="L282" t="str">
        <v/>
      </c>
      <c r="M282" t="str">
        <v/>
      </c>
      <c r="N282" t="str">
        <v/>
      </c>
    </row>
    <row r="283" spans="5:14" x14ac:dyDescent="0.25">
      <c r="E283" t="str">
        <v/>
      </c>
      <c r="F283" t="str">
        <v/>
      </c>
      <c r="I283" t="str">
        <v/>
      </c>
      <c r="J283" t="str">
        <v/>
      </c>
      <c r="K283" t="str">
        <v/>
      </c>
      <c r="L283" t="str">
        <v/>
      </c>
      <c r="M283" t="str">
        <v/>
      </c>
      <c r="N283" t="str">
        <v/>
      </c>
    </row>
    <row r="284" spans="5:14" x14ac:dyDescent="0.25">
      <c r="E284" t="str">
        <v/>
      </c>
      <c r="F284" t="str">
        <v/>
      </c>
      <c r="I284" t="str">
        <v/>
      </c>
      <c r="J284" t="str">
        <v/>
      </c>
      <c r="K284" t="str">
        <v/>
      </c>
      <c r="L284" t="str">
        <v/>
      </c>
      <c r="M284" t="str">
        <v/>
      </c>
      <c r="N284" t="str">
        <v/>
      </c>
    </row>
    <row r="285" spans="5:14" x14ac:dyDescent="0.25">
      <c r="E285" t="str">
        <v/>
      </c>
      <c r="F285" t="str">
        <v/>
      </c>
      <c r="I285" t="str">
        <v/>
      </c>
      <c r="J285" t="str">
        <v/>
      </c>
      <c r="K285" t="str">
        <v/>
      </c>
      <c r="L285" t="str">
        <v/>
      </c>
      <c r="M285" t="str">
        <v/>
      </c>
      <c r="N285" t="str">
        <v/>
      </c>
    </row>
    <row r="286" spans="5:14" x14ac:dyDescent="0.25">
      <c r="E286" t="str">
        <v/>
      </c>
      <c r="F286" t="str">
        <v/>
      </c>
      <c r="I286" t="str">
        <v/>
      </c>
      <c r="J286" t="str">
        <v/>
      </c>
      <c r="K286" t="str">
        <v/>
      </c>
      <c r="L286" t="str">
        <v/>
      </c>
      <c r="M286" t="str">
        <v/>
      </c>
      <c r="N286" t="str">
        <v/>
      </c>
    </row>
    <row r="287" spans="5:14" x14ac:dyDescent="0.25">
      <c r="E287" t="str">
        <v/>
      </c>
      <c r="F287" t="str">
        <v/>
      </c>
      <c r="I287" t="str">
        <v/>
      </c>
      <c r="J287" t="str">
        <v/>
      </c>
      <c r="K287" t="str">
        <v/>
      </c>
      <c r="L287" t="str">
        <v/>
      </c>
      <c r="M287" t="str">
        <v/>
      </c>
      <c r="N287" t="str">
        <v/>
      </c>
    </row>
    <row r="288" spans="5:14" x14ac:dyDescent="0.25">
      <c r="E288" t="str">
        <v/>
      </c>
      <c r="F288" t="str">
        <v/>
      </c>
      <c r="I288" t="str">
        <v/>
      </c>
      <c r="J288" t="str">
        <v/>
      </c>
      <c r="K288" t="str">
        <v/>
      </c>
      <c r="L288" t="str">
        <v/>
      </c>
      <c r="M288" t="str">
        <v/>
      </c>
      <c r="N288" t="str">
        <v/>
      </c>
    </row>
    <row r="289" spans="5:14" x14ac:dyDescent="0.25">
      <c r="E289" t="str">
        <v/>
      </c>
      <c r="F289" t="str">
        <v/>
      </c>
      <c r="I289" t="str">
        <v/>
      </c>
      <c r="J289" t="str">
        <v/>
      </c>
      <c r="K289" t="str">
        <v/>
      </c>
      <c r="L289" t="str">
        <v/>
      </c>
      <c r="M289" t="str">
        <v/>
      </c>
      <c r="N289" t="str">
        <v/>
      </c>
    </row>
    <row r="290" spans="5:14" x14ac:dyDescent="0.25">
      <c r="E290" t="str">
        <v/>
      </c>
      <c r="F290" t="str">
        <v/>
      </c>
      <c r="I290" t="str">
        <v/>
      </c>
      <c r="J290" t="str">
        <v/>
      </c>
      <c r="K290" t="str">
        <v/>
      </c>
      <c r="L290" t="str">
        <v/>
      </c>
      <c r="M290" t="str">
        <v/>
      </c>
      <c r="N290" t="str">
        <v/>
      </c>
    </row>
    <row r="291" spans="5:14" x14ac:dyDescent="0.25">
      <c r="E291" t="str">
        <v/>
      </c>
      <c r="F291" t="str">
        <v/>
      </c>
      <c r="I291" t="str">
        <v/>
      </c>
      <c r="J291" t="str">
        <v/>
      </c>
      <c r="K291" t="str">
        <v/>
      </c>
      <c r="L291" t="str">
        <v/>
      </c>
      <c r="M291" t="str">
        <v/>
      </c>
      <c r="N291" t="str">
        <v/>
      </c>
    </row>
    <row r="292" spans="5:14" x14ac:dyDescent="0.25">
      <c r="E292" t="str">
        <v/>
      </c>
      <c r="F292" t="str">
        <v/>
      </c>
      <c r="I292" t="str">
        <v/>
      </c>
      <c r="J292" t="str">
        <v/>
      </c>
      <c r="K292" t="str">
        <v/>
      </c>
      <c r="L292" t="str">
        <v/>
      </c>
      <c r="M292" t="str">
        <v/>
      </c>
      <c r="N292" t="str">
        <v/>
      </c>
    </row>
    <row r="293" spans="5:14" x14ac:dyDescent="0.25">
      <c r="E293" t="str">
        <v/>
      </c>
      <c r="F293" t="str">
        <v/>
      </c>
      <c r="I293" t="str">
        <v/>
      </c>
      <c r="J293" t="str">
        <v/>
      </c>
      <c r="K293" t="str">
        <v/>
      </c>
      <c r="L293" t="str">
        <v/>
      </c>
      <c r="M293" t="str">
        <v/>
      </c>
      <c r="N293" t="str">
        <v/>
      </c>
    </row>
    <row r="294" spans="5:14" x14ac:dyDescent="0.25">
      <c r="E294" t="str">
        <v/>
      </c>
      <c r="F294" t="str">
        <v/>
      </c>
      <c r="I294" t="str">
        <v/>
      </c>
      <c r="J294" t="str">
        <v/>
      </c>
      <c r="K294" t="str">
        <v/>
      </c>
      <c r="L294" t="str">
        <v/>
      </c>
      <c r="M294" t="str">
        <v/>
      </c>
      <c r="N294" t="str">
        <v/>
      </c>
    </row>
    <row r="295" spans="5:14" x14ac:dyDescent="0.25">
      <c r="E295" t="str">
        <v/>
      </c>
      <c r="F295" t="str">
        <v/>
      </c>
      <c r="I295" t="str">
        <v/>
      </c>
      <c r="J295" t="str">
        <v/>
      </c>
      <c r="K295" t="str">
        <v/>
      </c>
      <c r="L295" t="str">
        <v/>
      </c>
      <c r="M295" t="str">
        <v/>
      </c>
      <c r="N295" t="str">
        <v/>
      </c>
    </row>
    <row r="296" spans="5:14" x14ac:dyDescent="0.25">
      <c r="E296" t="str">
        <v/>
      </c>
      <c r="F296" t="str">
        <v/>
      </c>
      <c r="I296" t="str">
        <v/>
      </c>
      <c r="J296" t="str">
        <v/>
      </c>
      <c r="K296" t="str">
        <v/>
      </c>
      <c r="L296" t="str">
        <v/>
      </c>
      <c r="M296" t="str">
        <v/>
      </c>
      <c r="N296" t="str">
        <v/>
      </c>
    </row>
    <row r="297" spans="5:14" x14ac:dyDescent="0.25">
      <c r="E297" t="str">
        <v/>
      </c>
      <c r="F297" t="str">
        <v/>
      </c>
      <c r="I297" t="str">
        <v/>
      </c>
      <c r="J297" t="str">
        <v/>
      </c>
      <c r="K297" t="str">
        <v/>
      </c>
      <c r="L297" t="str">
        <v/>
      </c>
      <c r="M297" t="str">
        <v/>
      </c>
      <c r="N297" t="str">
        <v/>
      </c>
    </row>
    <row r="298" spans="5:14" x14ac:dyDescent="0.25">
      <c r="E298" t="str">
        <v/>
      </c>
      <c r="F298" t="str">
        <v/>
      </c>
      <c r="I298" t="str">
        <v/>
      </c>
      <c r="J298" t="str">
        <v/>
      </c>
      <c r="K298" t="str">
        <v/>
      </c>
      <c r="L298" t="str">
        <v/>
      </c>
      <c r="M298" t="str">
        <v/>
      </c>
      <c r="N298" t="str">
        <v/>
      </c>
    </row>
    <row r="299" spans="5:14" x14ac:dyDescent="0.25">
      <c r="E299" t="str">
        <v/>
      </c>
      <c r="F299" t="str">
        <v/>
      </c>
      <c r="I299" t="str">
        <v/>
      </c>
      <c r="J299" t="str">
        <v/>
      </c>
      <c r="K299" t="str">
        <v/>
      </c>
      <c r="L299" t="str">
        <v/>
      </c>
      <c r="M299" t="str">
        <v/>
      </c>
      <c r="N299" t="str">
        <v/>
      </c>
    </row>
    <row r="300" spans="5:14" x14ac:dyDescent="0.25">
      <c r="E300" t="str">
        <v/>
      </c>
      <c r="F300" t="str">
        <v/>
      </c>
      <c r="I300" t="str">
        <v/>
      </c>
      <c r="J300" t="str">
        <v/>
      </c>
      <c r="K300" t="str">
        <v/>
      </c>
      <c r="L300" t="str">
        <v/>
      </c>
      <c r="M300" t="str">
        <v/>
      </c>
      <c r="N300" t="str">
        <v/>
      </c>
    </row>
    <row r="301" spans="5:14" x14ac:dyDescent="0.25">
      <c r="E301" t="str">
        <v/>
      </c>
      <c r="F301" t="str">
        <v/>
      </c>
      <c r="I301" t="str">
        <v/>
      </c>
      <c r="J301" t="str">
        <v/>
      </c>
      <c r="K301" t="str">
        <v/>
      </c>
      <c r="L301" t="str">
        <v/>
      </c>
      <c r="M301" t="str">
        <v/>
      </c>
      <c r="N301" t="str">
        <v/>
      </c>
    </row>
    <row r="302" spans="5:14" x14ac:dyDescent="0.25">
      <c r="E302" t="str">
        <v/>
      </c>
      <c r="F302" t="str">
        <v/>
      </c>
      <c r="I302" t="str">
        <v/>
      </c>
      <c r="J302" t="str">
        <v/>
      </c>
      <c r="K302" t="str">
        <v/>
      </c>
      <c r="L302" t="str">
        <v/>
      </c>
      <c r="M302" t="str">
        <v/>
      </c>
      <c r="N302" t="str">
        <v/>
      </c>
    </row>
    <row r="303" spans="5:14" x14ac:dyDescent="0.25">
      <c r="E303" t="str">
        <v/>
      </c>
      <c r="F303" t="str">
        <v/>
      </c>
      <c r="I303" t="str">
        <v/>
      </c>
      <c r="J303" t="str">
        <v/>
      </c>
      <c r="K303" t="str">
        <v/>
      </c>
      <c r="L303" t="str">
        <v/>
      </c>
      <c r="M303" t="str">
        <v/>
      </c>
      <c r="N303" t="str">
        <v/>
      </c>
    </row>
    <row r="304" spans="5:14" x14ac:dyDescent="0.25">
      <c r="E304" t="str">
        <v/>
      </c>
      <c r="F304" t="str">
        <v/>
      </c>
      <c r="I304" t="str">
        <v/>
      </c>
      <c r="J304" t="str">
        <v/>
      </c>
      <c r="K304" t="str">
        <v/>
      </c>
      <c r="L304" t="str">
        <v/>
      </c>
      <c r="M304" t="str">
        <v/>
      </c>
      <c r="N304" t="str">
        <v/>
      </c>
    </row>
    <row r="305" spans="5:14" x14ac:dyDescent="0.25">
      <c r="E305" t="str">
        <v/>
      </c>
      <c r="F305" t="str">
        <v/>
      </c>
      <c r="I305" t="str">
        <v/>
      </c>
      <c r="J305" t="str">
        <v/>
      </c>
      <c r="K305" t="str">
        <v/>
      </c>
      <c r="L305" t="str">
        <v/>
      </c>
      <c r="M305" t="str">
        <v/>
      </c>
      <c r="N305" t="str">
        <v/>
      </c>
    </row>
    <row r="306" spans="5:14" x14ac:dyDescent="0.25">
      <c r="E306" t="str">
        <v/>
      </c>
      <c r="F306" t="str">
        <v/>
      </c>
      <c r="I306" t="str">
        <v/>
      </c>
      <c r="J306" t="str">
        <v/>
      </c>
      <c r="K306" t="str">
        <v/>
      </c>
      <c r="L306" t="str">
        <v/>
      </c>
      <c r="M306" t="str">
        <v/>
      </c>
      <c r="N306" t="str">
        <v/>
      </c>
    </row>
    <row r="307" spans="5:14" x14ac:dyDescent="0.25">
      <c r="E307" t="str">
        <v/>
      </c>
      <c r="F307" t="str">
        <v/>
      </c>
      <c r="I307" t="str">
        <v/>
      </c>
      <c r="J307" t="str">
        <v/>
      </c>
      <c r="K307" t="str">
        <v/>
      </c>
      <c r="L307" t="str">
        <v/>
      </c>
      <c r="M307" t="str">
        <v/>
      </c>
      <c r="N307" t="str">
        <v/>
      </c>
    </row>
    <row r="308" spans="5:14" x14ac:dyDescent="0.25">
      <c r="E308" t="str">
        <v/>
      </c>
      <c r="F308" t="str">
        <v/>
      </c>
      <c r="I308" t="str">
        <v/>
      </c>
      <c r="J308" t="str">
        <v/>
      </c>
      <c r="K308" t="str">
        <v/>
      </c>
      <c r="L308" t="str">
        <v/>
      </c>
      <c r="M308" t="str">
        <v/>
      </c>
      <c r="N308" t="str">
        <v/>
      </c>
    </row>
    <row r="309" spans="5:14" x14ac:dyDescent="0.25">
      <c r="E309" t="str">
        <v/>
      </c>
      <c r="F309" t="str">
        <v/>
      </c>
      <c r="I309" t="str">
        <v/>
      </c>
      <c r="J309" t="str">
        <v/>
      </c>
      <c r="K309" t="str">
        <v/>
      </c>
      <c r="L309" t="str">
        <v/>
      </c>
      <c r="M309" t="str">
        <v/>
      </c>
      <c r="N309" t="str">
        <v/>
      </c>
    </row>
    <row r="310" spans="5:14" x14ac:dyDescent="0.25">
      <c r="E310" t="str">
        <v/>
      </c>
      <c r="F310" t="str">
        <v/>
      </c>
      <c r="I310" t="str">
        <v/>
      </c>
      <c r="J310" t="str">
        <v/>
      </c>
      <c r="K310" t="str">
        <v/>
      </c>
      <c r="L310" t="str">
        <v/>
      </c>
      <c r="M310" t="str">
        <v/>
      </c>
      <c r="N310" t="str">
        <v/>
      </c>
    </row>
    <row r="311" spans="5:14" x14ac:dyDescent="0.25">
      <c r="E311" t="str">
        <v/>
      </c>
      <c r="F311" t="str">
        <v/>
      </c>
      <c r="I311" t="str">
        <v/>
      </c>
      <c r="J311" t="str">
        <v/>
      </c>
      <c r="K311" t="str">
        <v/>
      </c>
      <c r="L311" t="str">
        <v/>
      </c>
      <c r="M311" t="str">
        <v/>
      </c>
      <c r="N311" t="str">
        <v/>
      </c>
    </row>
    <row r="312" spans="5:14" x14ac:dyDescent="0.25">
      <c r="E312" t="str">
        <v/>
      </c>
      <c r="F312" t="str">
        <v/>
      </c>
      <c r="I312" t="str">
        <v/>
      </c>
      <c r="J312" t="str">
        <v/>
      </c>
      <c r="K312" t="str">
        <v/>
      </c>
      <c r="L312" t="str">
        <v/>
      </c>
      <c r="M312" t="str">
        <v/>
      </c>
      <c r="N312" t="str">
        <v/>
      </c>
    </row>
    <row r="313" spans="5:14" x14ac:dyDescent="0.25">
      <c r="E313" t="str">
        <v/>
      </c>
      <c r="F313" t="str">
        <v/>
      </c>
      <c r="I313" t="str">
        <v/>
      </c>
      <c r="J313" t="str">
        <v/>
      </c>
      <c r="K313" t="str">
        <v/>
      </c>
      <c r="L313" t="str">
        <v/>
      </c>
      <c r="M313" t="str">
        <v/>
      </c>
      <c r="N313" t="str">
        <v/>
      </c>
    </row>
    <row r="314" spans="5:14" x14ac:dyDescent="0.25">
      <c r="E314" t="str">
        <v/>
      </c>
      <c r="F314" t="str">
        <v/>
      </c>
      <c r="I314" t="str">
        <v/>
      </c>
      <c r="J314" t="str">
        <v/>
      </c>
      <c r="K314" t="str">
        <v/>
      </c>
      <c r="L314" t="str">
        <v/>
      </c>
      <c r="M314" t="str">
        <v/>
      </c>
      <c r="N314" t="str">
        <v/>
      </c>
    </row>
    <row r="315" spans="5:14" x14ac:dyDescent="0.25">
      <c r="E315" t="str">
        <v/>
      </c>
      <c r="F315" t="str">
        <v/>
      </c>
      <c r="I315" t="str">
        <v/>
      </c>
      <c r="J315" t="str">
        <v/>
      </c>
      <c r="K315" t="str">
        <v/>
      </c>
      <c r="L315" t="str">
        <v/>
      </c>
      <c r="M315" t="str">
        <v/>
      </c>
      <c r="N315" t="str">
        <v/>
      </c>
    </row>
    <row r="316" spans="5:14" x14ac:dyDescent="0.25">
      <c r="E316" t="str">
        <v/>
      </c>
      <c r="F316" t="str">
        <v/>
      </c>
      <c r="I316" t="str">
        <v/>
      </c>
      <c r="J316" t="str">
        <v/>
      </c>
      <c r="K316" t="str">
        <v/>
      </c>
      <c r="L316" t="str">
        <v/>
      </c>
      <c r="M316" t="str">
        <v/>
      </c>
      <c r="N316" t="str">
        <v/>
      </c>
    </row>
    <row r="317" spans="5:14" x14ac:dyDescent="0.25">
      <c r="E317" t="str">
        <v/>
      </c>
      <c r="F317" t="str">
        <v/>
      </c>
      <c r="I317" t="str">
        <v/>
      </c>
      <c r="J317" t="str">
        <v/>
      </c>
      <c r="K317" t="str">
        <v/>
      </c>
      <c r="L317" t="str">
        <v/>
      </c>
      <c r="M317" t="str">
        <v/>
      </c>
      <c r="N317" t="str">
        <v/>
      </c>
    </row>
    <row r="318" spans="5:14" x14ac:dyDescent="0.25">
      <c r="E318" t="str">
        <v/>
      </c>
      <c r="F318" t="str">
        <v/>
      </c>
      <c r="I318" t="str">
        <v/>
      </c>
      <c r="J318" t="str">
        <v/>
      </c>
      <c r="K318" t="str">
        <v/>
      </c>
      <c r="L318" t="str">
        <v/>
      </c>
      <c r="M318" t="str">
        <v/>
      </c>
      <c r="N318" t="str">
        <v/>
      </c>
    </row>
    <row r="319" spans="5:14" x14ac:dyDescent="0.25">
      <c r="E319" t="str">
        <v/>
      </c>
      <c r="F319" t="str">
        <v/>
      </c>
      <c r="I319" t="str">
        <v/>
      </c>
      <c r="J319" t="str">
        <v/>
      </c>
      <c r="K319" t="str">
        <v/>
      </c>
      <c r="L319" t="str">
        <v/>
      </c>
      <c r="M319" t="str">
        <v/>
      </c>
      <c r="N319" t="str">
        <v/>
      </c>
    </row>
    <row r="320" spans="5:14" x14ac:dyDescent="0.25">
      <c r="E320" t="str">
        <v/>
      </c>
      <c r="F320" t="str">
        <v/>
      </c>
      <c r="I320" t="str">
        <v/>
      </c>
      <c r="J320" t="str">
        <v/>
      </c>
      <c r="K320" t="str">
        <v/>
      </c>
      <c r="L320" t="str">
        <v/>
      </c>
      <c r="M320" t="str">
        <v/>
      </c>
      <c r="N320" t="str">
        <v/>
      </c>
    </row>
    <row r="321" spans="5:14" x14ac:dyDescent="0.25">
      <c r="E321" t="str">
        <v/>
      </c>
      <c r="F321" t="str">
        <v/>
      </c>
      <c r="I321" t="str">
        <v/>
      </c>
      <c r="J321" t="str">
        <v/>
      </c>
      <c r="K321" t="str">
        <v/>
      </c>
      <c r="L321" t="str">
        <v/>
      </c>
      <c r="M321" t="str">
        <v/>
      </c>
      <c r="N321" t="str">
        <v/>
      </c>
    </row>
    <row r="322" spans="5:14" x14ac:dyDescent="0.25">
      <c r="E322" t="str">
        <v/>
      </c>
      <c r="F322" t="str">
        <v/>
      </c>
      <c r="I322" t="str">
        <v/>
      </c>
      <c r="J322" t="str">
        <v/>
      </c>
      <c r="K322" t="str">
        <v/>
      </c>
      <c r="L322" t="str">
        <v/>
      </c>
      <c r="M322" t="str">
        <v/>
      </c>
      <c r="N322" t="str">
        <v/>
      </c>
    </row>
    <row r="323" spans="5:14" x14ac:dyDescent="0.25">
      <c r="E323" t="str">
        <v/>
      </c>
      <c r="F323" t="str">
        <v/>
      </c>
      <c r="I323" t="str">
        <v/>
      </c>
      <c r="J323" t="str">
        <v/>
      </c>
      <c r="K323" t="str">
        <v/>
      </c>
      <c r="L323" t="str">
        <v/>
      </c>
      <c r="M323" t="str">
        <v/>
      </c>
      <c r="N323" t="str">
        <v/>
      </c>
    </row>
    <row r="324" spans="5:14" x14ac:dyDescent="0.25">
      <c r="E324" t="str">
        <v/>
      </c>
      <c r="F324" t="str">
        <v/>
      </c>
      <c r="I324" t="str">
        <v/>
      </c>
      <c r="J324" t="str">
        <v/>
      </c>
      <c r="K324" t="str">
        <v/>
      </c>
      <c r="L324" t="str">
        <v/>
      </c>
      <c r="M324" t="str">
        <v/>
      </c>
      <c r="N324" t="str">
        <v/>
      </c>
    </row>
    <row r="325" spans="5:14" x14ac:dyDescent="0.25">
      <c r="E325" t="str">
        <v/>
      </c>
      <c r="F325" t="str">
        <v/>
      </c>
      <c r="I325" t="str">
        <v/>
      </c>
      <c r="J325" t="str">
        <v/>
      </c>
      <c r="K325" t="str">
        <v/>
      </c>
      <c r="L325" t="str">
        <v/>
      </c>
      <c r="M325" t="str">
        <v/>
      </c>
      <c r="N325" t="str">
        <v/>
      </c>
    </row>
    <row r="326" spans="5:14" x14ac:dyDescent="0.25">
      <c r="E326" t="str">
        <v/>
      </c>
      <c r="F326" t="str">
        <v/>
      </c>
      <c r="I326" t="str">
        <v/>
      </c>
      <c r="J326" t="str">
        <v/>
      </c>
      <c r="K326" t="str">
        <v/>
      </c>
      <c r="L326" t="str">
        <v/>
      </c>
      <c r="M326" t="str">
        <v/>
      </c>
      <c r="N326" t="str">
        <v/>
      </c>
    </row>
    <row r="327" spans="5:14" x14ac:dyDescent="0.25">
      <c r="E327" t="str">
        <v/>
      </c>
      <c r="F327" t="str">
        <v/>
      </c>
      <c r="I327" t="str">
        <v/>
      </c>
      <c r="J327" t="str">
        <v/>
      </c>
      <c r="K327" t="str">
        <v/>
      </c>
      <c r="L327" t="str">
        <v/>
      </c>
      <c r="M327" t="str">
        <v/>
      </c>
      <c r="N327" t="str">
        <v/>
      </c>
    </row>
    <row r="328" spans="5:14" x14ac:dyDescent="0.25">
      <c r="E328" t="str">
        <v/>
      </c>
      <c r="F328" t="str">
        <v/>
      </c>
      <c r="I328" t="str">
        <v/>
      </c>
      <c r="J328" t="str">
        <v/>
      </c>
      <c r="K328" t="str">
        <v/>
      </c>
      <c r="L328" t="str">
        <v/>
      </c>
      <c r="M328" t="str">
        <v/>
      </c>
      <c r="N328" t="str">
        <v/>
      </c>
    </row>
    <row r="329" spans="5:14" x14ac:dyDescent="0.25">
      <c r="E329" t="str">
        <v/>
      </c>
      <c r="F329" t="str">
        <v/>
      </c>
      <c r="I329" t="str">
        <v/>
      </c>
      <c r="J329" t="str">
        <v/>
      </c>
      <c r="K329" t="str">
        <v/>
      </c>
      <c r="L329" t="str">
        <v/>
      </c>
      <c r="M329" t="str">
        <v/>
      </c>
      <c r="N329" t="str">
        <v/>
      </c>
    </row>
    <row r="330" spans="5:14" x14ac:dyDescent="0.25">
      <c r="E330" t="str">
        <v/>
      </c>
      <c r="F330" t="str">
        <v/>
      </c>
      <c r="I330" t="str">
        <v/>
      </c>
      <c r="J330" t="str">
        <v/>
      </c>
      <c r="K330" t="str">
        <v/>
      </c>
      <c r="L330" t="str">
        <v/>
      </c>
      <c r="M330" t="str">
        <v/>
      </c>
      <c r="N330" t="str">
        <v/>
      </c>
    </row>
    <row r="331" spans="5:14" x14ac:dyDescent="0.25">
      <c r="E331" t="str">
        <v/>
      </c>
      <c r="F331" t="str">
        <v/>
      </c>
      <c r="I331" t="str">
        <v/>
      </c>
      <c r="J331" t="str">
        <v/>
      </c>
      <c r="K331" t="str">
        <v/>
      </c>
      <c r="L331" t="str">
        <v/>
      </c>
      <c r="M331" t="str">
        <v/>
      </c>
      <c r="N331" t="str">
        <v/>
      </c>
    </row>
    <row r="332" spans="5:14" x14ac:dyDescent="0.25">
      <c r="E332" t="str">
        <v/>
      </c>
      <c r="F332" t="str">
        <v/>
      </c>
      <c r="I332" t="str">
        <v/>
      </c>
      <c r="J332" t="str">
        <v/>
      </c>
      <c r="K332" t="str">
        <v/>
      </c>
      <c r="L332" t="str">
        <v/>
      </c>
      <c r="M332" t="str">
        <v/>
      </c>
      <c r="N332" t="str">
        <v/>
      </c>
    </row>
    <row r="333" spans="5:14" x14ac:dyDescent="0.25">
      <c r="E333" t="str">
        <v/>
      </c>
      <c r="F333" t="str">
        <v/>
      </c>
      <c r="I333" t="str">
        <v/>
      </c>
      <c r="J333" t="str">
        <v/>
      </c>
      <c r="K333" t="str">
        <v/>
      </c>
      <c r="L333" t="str">
        <v/>
      </c>
      <c r="M333" t="str">
        <v/>
      </c>
      <c r="N333" t="str">
        <v/>
      </c>
    </row>
    <row r="334" spans="5:14" x14ac:dyDescent="0.25">
      <c r="E334" t="str">
        <v/>
      </c>
      <c r="F334" t="str">
        <v/>
      </c>
      <c r="I334" t="str">
        <v/>
      </c>
      <c r="J334" t="str">
        <v/>
      </c>
      <c r="K334" t="str">
        <v/>
      </c>
      <c r="L334" t="str">
        <v/>
      </c>
      <c r="M334" t="str">
        <v/>
      </c>
      <c r="N334" t="str">
        <v/>
      </c>
    </row>
    <row r="335" spans="5:14" x14ac:dyDescent="0.25">
      <c r="E335" t="str">
        <v/>
      </c>
      <c r="F335" t="str">
        <v/>
      </c>
      <c r="I335" t="str">
        <v/>
      </c>
      <c r="J335" t="str">
        <v/>
      </c>
      <c r="K335" t="str">
        <v/>
      </c>
      <c r="L335" t="str">
        <v/>
      </c>
      <c r="M335" t="str">
        <v/>
      </c>
      <c r="N335" t="str">
        <v/>
      </c>
    </row>
    <row r="336" spans="5:14" x14ac:dyDescent="0.25">
      <c r="E336" t="str">
        <v/>
      </c>
      <c r="F336" t="str">
        <v/>
      </c>
      <c r="I336" t="str">
        <v/>
      </c>
      <c r="J336" t="str">
        <v/>
      </c>
      <c r="K336" t="str">
        <v/>
      </c>
      <c r="L336" t="str">
        <v/>
      </c>
      <c r="M336" t="str">
        <v/>
      </c>
      <c r="N336" t="str">
        <v/>
      </c>
    </row>
    <row r="337" spans="5:14" x14ac:dyDescent="0.25">
      <c r="E337" t="str">
        <v/>
      </c>
      <c r="F337" t="str">
        <v/>
      </c>
      <c r="I337" t="str">
        <v/>
      </c>
      <c r="J337" t="str">
        <v/>
      </c>
      <c r="K337" t="str">
        <v/>
      </c>
      <c r="L337" t="str">
        <v/>
      </c>
      <c r="M337" t="str">
        <v/>
      </c>
      <c r="N337" t="str">
        <v/>
      </c>
    </row>
    <row r="338" spans="5:14" x14ac:dyDescent="0.25">
      <c r="E338" t="str">
        <v/>
      </c>
      <c r="F338" t="str">
        <v/>
      </c>
      <c r="I338" t="str">
        <v/>
      </c>
      <c r="J338" t="str">
        <v/>
      </c>
      <c r="K338" t="str">
        <v/>
      </c>
      <c r="L338" t="str">
        <v/>
      </c>
      <c r="M338" t="str">
        <v/>
      </c>
      <c r="N338" t="str">
        <v/>
      </c>
    </row>
    <row r="339" spans="5:14" x14ac:dyDescent="0.25">
      <c r="E339" t="str">
        <v/>
      </c>
      <c r="F339" t="str">
        <v/>
      </c>
      <c r="I339" t="str">
        <v/>
      </c>
      <c r="J339" t="str">
        <v/>
      </c>
      <c r="K339" t="str">
        <v/>
      </c>
      <c r="L339" t="str">
        <v/>
      </c>
      <c r="M339" t="str">
        <v/>
      </c>
      <c r="N339" t="str">
        <v/>
      </c>
    </row>
    <row r="340" spans="5:14" x14ac:dyDescent="0.25">
      <c r="E340" t="str">
        <v/>
      </c>
      <c r="F340" t="str">
        <v/>
      </c>
      <c r="I340" t="str">
        <v/>
      </c>
      <c r="J340" t="str">
        <v/>
      </c>
      <c r="K340" t="str">
        <v/>
      </c>
      <c r="L340" t="str">
        <v/>
      </c>
      <c r="M340" t="str">
        <v/>
      </c>
      <c r="N340" t="str">
        <v/>
      </c>
    </row>
    <row r="341" spans="5:14" x14ac:dyDescent="0.25">
      <c r="E341" t="str">
        <v/>
      </c>
      <c r="F341" t="str">
        <v/>
      </c>
      <c r="I341" t="str">
        <v/>
      </c>
      <c r="J341" t="str">
        <v/>
      </c>
      <c r="K341" t="str">
        <v/>
      </c>
      <c r="L341" t="str">
        <v/>
      </c>
      <c r="M341" t="str">
        <v/>
      </c>
      <c r="N341" t="str">
        <v/>
      </c>
    </row>
    <row r="342" spans="5:14" x14ac:dyDescent="0.25">
      <c r="E342" t="str">
        <v/>
      </c>
      <c r="F342" t="str">
        <v/>
      </c>
      <c r="I342" t="str">
        <v/>
      </c>
      <c r="J342" t="str">
        <v/>
      </c>
      <c r="K342" t="str">
        <v/>
      </c>
      <c r="L342" t="str">
        <v/>
      </c>
      <c r="M342" t="str">
        <v/>
      </c>
      <c r="N342" t="str">
        <v/>
      </c>
    </row>
    <row r="343" spans="5:14" x14ac:dyDescent="0.25">
      <c r="E343" t="str">
        <v/>
      </c>
      <c r="F343" t="str">
        <v/>
      </c>
      <c r="I343" t="str">
        <v/>
      </c>
      <c r="J343" t="str">
        <v/>
      </c>
      <c r="K343" t="str">
        <v/>
      </c>
      <c r="L343" t="str">
        <v/>
      </c>
      <c r="M343" t="str">
        <v/>
      </c>
      <c r="N343" t="str">
        <v/>
      </c>
    </row>
    <row r="344" spans="5:14" x14ac:dyDescent="0.25">
      <c r="E344" t="str">
        <v/>
      </c>
      <c r="F344" t="str">
        <v/>
      </c>
      <c r="I344" t="str">
        <v/>
      </c>
      <c r="J344" t="str">
        <v/>
      </c>
      <c r="K344" t="str">
        <v/>
      </c>
      <c r="L344" t="str">
        <v/>
      </c>
      <c r="M344" t="str">
        <v/>
      </c>
      <c r="N344" t="str">
        <v/>
      </c>
    </row>
    <row r="345" spans="5:14" x14ac:dyDescent="0.25">
      <c r="E345" t="str">
        <v/>
      </c>
      <c r="F345" t="str">
        <v/>
      </c>
      <c r="I345" t="str">
        <v/>
      </c>
      <c r="J345" t="str">
        <v/>
      </c>
      <c r="K345" t="str">
        <v/>
      </c>
      <c r="L345" t="str">
        <v/>
      </c>
      <c r="M345" t="str">
        <v/>
      </c>
      <c r="N345" t="str">
        <v/>
      </c>
    </row>
    <row r="346" spans="5:14" x14ac:dyDescent="0.25">
      <c r="E346" t="str">
        <v/>
      </c>
      <c r="F346" t="str">
        <v/>
      </c>
      <c r="I346" t="str">
        <v/>
      </c>
      <c r="J346" t="str">
        <v/>
      </c>
      <c r="K346" t="str">
        <v/>
      </c>
      <c r="L346" t="str">
        <v/>
      </c>
      <c r="M346" t="str">
        <v/>
      </c>
      <c r="N346" t="str">
        <v/>
      </c>
    </row>
    <row r="347" spans="5:14" x14ac:dyDescent="0.25">
      <c r="E347" t="str">
        <v/>
      </c>
      <c r="F347" t="str">
        <v/>
      </c>
      <c r="I347" t="str">
        <v/>
      </c>
      <c r="J347" t="str">
        <v/>
      </c>
      <c r="K347" t="str">
        <v/>
      </c>
      <c r="L347" t="str">
        <v/>
      </c>
      <c r="M347" t="str">
        <v/>
      </c>
      <c r="N347" t="str">
        <v/>
      </c>
    </row>
    <row r="348" spans="5:14" x14ac:dyDescent="0.25">
      <c r="E348" t="str">
        <v/>
      </c>
      <c r="F348" t="str">
        <v/>
      </c>
      <c r="I348" t="str">
        <v/>
      </c>
      <c r="J348" t="str">
        <v/>
      </c>
      <c r="K348" t="str">
        <v/>
      </c>
      <c r="L348" t="str">
        <v/>
      </c>
      <c r="M348" t="str">
        <v/>
      </c>
      <c r="N348" t="str">
        <v/>
      </c>
    </row>
    <row r="349" spans="5:14" x14ac:dyDescent="0.25">
      <c r="E349" t="str">
        <v/>
      </c>
      <c r="F349" t="str">
        <v/>
      </c>
      <c r="I349" t="str">
        <v/>
      </c>
      <c r="J349" t="str">
        <v/>
      </c>
      <c r="K349" t="str">
        <v/>
      </c>
      <c r="L349" t="str">
        <v/>
      </c>
      <c r="M349" t="str">
        <v/>
      </c>
      <c r="N349" t="str">
        <v/>
      </c>
    </row>
    <row r="350" spans="5:14" x14ac:dyDescent="0.25">
      <c r="E350" t="str">
        <v/>
      </c>
      <c r="F350" t="str">
        <v/>
      </c>
      <c r="I350" t="str">
        <v/>
      </c>
      <c r="J350" t="str">
        <v/>
      </c>
      <c r="K350" t="str">
        <v/>
      </c>
      <c r="L350" t="str">
        <v/>
      </c>
      <c r="M350" t="str">
        <v/>
      </c>
      <c r="N350" t="str">
        <v/>
      </c>
    </row>
    <row r="351" spans="5:14" x14ac:dyDescent="0.25">
      <c r="E351" t="str">
        <v/>
      </c>
      <c r="F351" t="str">
        <v/>
      </c>
      <c r="I351" t="str">
        <v/>
      </c>
      <c r="J351" t="str">
        <v/>
      </c>
      <c r="K351" t="str">
        <v/>
      </c>
      <c r="L351" t="str">
        <v/>
      </c>
      <c r="M351" t="str">
        <v/>
      </c>
      <c r="N351" t="str">
        <v/>
      </c>
    </row>
    <row r="352" spans="5:14" x14ac:dyDescent="0.25">
      <c r="E352" t="str">
        <v/>
      </c>
      <c r="F352" t="str">
        <v/>
      </c>
      <c r="I352" t="str">
        <v/>
      </c>
      <c r="J352" t="str">
        <v/>
      </c>
      <c r="K352" t="str">
        <v/>
      </c>
      <c r="L352" t="str">
        <v/>
      </c>
      <c r="M352" t="str">
        <v/>
      </c>
      <c r="N352" t="str">
        <v/>
      </c>
    </row>
    <row r="353" spans="5:14" x14ac:dyDescent="0.25">
      <c r="E353" t="str">
        <v/>
      </c>
      <c r="F353" t="str">
        <v/>
      </c>
      <c r="I353" t="str">
        <v/>
      </c>
      <c r="J353" t="str">
        <v/>
      </c>
      <c r="K353" t="str">
        <v/>
      </c>
      <c r="L353" t="str">
        <v/>
      </c>
      <c r="M353" t="str">
        <v/>
      </c>
      <c r="N353" t="str">
        <v/>
      </c>
    </row>
    <row r="354" spans="5:14" x14ac:dyDescent="0.25">
      <c r="E354" t="str">
        <v/>
      </c>
      <c r="F354" t="str">
        <v/>
      </c>
      <c r="I354" t="str">
        <v/>
      </c>
      <c r="J354" t="str">
        <v/>
      </c>
      <c r="K354" t="str">
        <v/>
      </c>
      <c r="L354" t="str">
        <v/>
      </c>
      <c r="M354" t="str">
        <v/>
      </c>
      <c r="N354" t="str">
        <v/>
      </c>
    </row>
    <row r="355" spans="5:14" x14ac:dyDescent="0.25">
      <c r="E355" t="str">
        <v/>
      </c>
      <c r="F355" t="str">
        <v/>
      </c>
      <c r="I355" t="str">
        <v/>
      </c>
      <c r="J355" t="str">
        <v/>
      </c>
      <c r="K355" t="str">
        <v/>
      </c>
      <c r="L355" t="str">
        <v/>
      </c>
      <c r="M355" t="str">
        <v/>
      </c>
      <c r="N355" t="str">
        <v/>
      </c>
    </row>
    <row r="356" spans="5:14" x14ac:dyDescent="0.25">
      <c r="E356" t="str">
        <v/>
      </c>
      <c r="F356" t="str">
        <v/>
      </c>
      <c r="I356" t="str">
        <v/>
      </c>
      <c r="J356" t="str">
        <v/>
      </c>
      <c r="K356" t="str">
        <v/>
      </c>
      <c r="L356" t="str">
        <v/>
      </c>
      <c r="M356" t="str">
        <v/>
      </c>
      <c r="N356" t="str">
        <v/>
      </c>
    </row>
    <row r="357" spans="5:14" x14ac:dyDescent="0.25">
      <c r="E357" t="str">
        <v/>
      </c>
      <c r="F357" t="str">
        <v/>
      </c>
      <c r="I357" t="str">
        <v/>
      </c>
      <c r="J357" t="str">
        <v/>
      </c>
      <c r="K357" t="str">
        <v/>
      </c>
      <c r="L357" t="str">
        <v/>
      </c>
      <c r="M357" t="str">
        <v/>
      </c>
      <c r="N357" t="str">
        <v/>
      </c>
    </row>
    <row r="358" spans="5:14" x14ac:dyDescent="0.25">
      <c r="E358" t="str">
        <v/>
      </c>
      <c r="F358" t="str">
        <v/>
      </c>
      <c r="I358" t="str">
        <v/>
      </c>
      <c r="J358" t="str">
        <v/>
      </c>
      <c r="K358" t="str">
        <v/>
      </c>
      <c r="L358" t="str">
        <v/>
      </c>
      <c r="M358" t="str">
        <v/>
      </c>
      <c r="N358" t="str">
        <v/>
      </c>
    </row>
    <row r="359" spans="5:14" x14ac:dyDescent="0.25">
      <c r="E359" t="str">
        <v/>
      </c>
      <c r="F359" t="str">
        <v/>
      </c>
      <c r="I359" t="str">
        <v/>
      </c>
      <c r="J359" t="str">
        <v/>
      </c>
      <c r="K359" t="str">
        <v/>
      </c>
      <c r="L359" t="str">
        <v/>
      </c>
      <c r="M359" t="str">
        <v/>
      </c>
      <c r="N359" t="str">
        <v/>
      </c>
    </row>
    <row r="360" spans="5:14" x14ac:dyDescent="0.25">
      <c r="E360" t="str">
        <v/>
      </c>
      <c r="F360" t="str">
        <v/>
      </c>
      <c r="I360" t="str">
        <v/>
      </c>
      <c r="J360" t="str">
        <v/>
      </c>
      <c r="K360" t="str">
        <v/>
      </c>
      <c r="L360" t="str">
        <v/>
      </c>
      <c r="M360" t="str">
        <v/>
      </c>
      <c r="N360" t="str">
        <v/>
      </c>
    </row>
    <row r="361" spans="5:14" x14ac:dyDescent="0.25">
      <c r="E361" t="str">
        <v/>
      </c>
      <c r="F361" t="str">
        <v/>
      </c>
      <c r="I361" t="str">
        <v/>
      </c>
      <c r="J361" t="str">
        <v/>
      </c>
      <c r="K361" t="str">
        <v/>
      </c>
      <c r="L361" t="str">
        <v/>
      </c>
      <c r="M361" t="str">
        <v/>
      </c>
      <c r="N361" t="str">
        <v/>
      </c>
    </row>
    <row r="362" spans="5:14" x14ac:dyDescent="0.25">
      <c r="E362" t="str">
        <v/>
      </c>
      <c r="F362" t="str">
        <v/>
      </c>
      <c r="I362" t="str">
        <v/>
      </c>
      <c r="J362" t="str">
        <v/>
      </c>
      <c r="K362" t="str">
        <v/>
      </c>
      <c r="L362" t="str">
        <v/>
      </c>
      <c r="M362" t="str">
        <v/>
      </c>
      <c r="N362" t="str">
        <v/>
      </c>
    </row>
    <row r="363" spans="5:14" x14ac:dyDescent="0.25">
      <c r="E363" t="str">
        <v/>
      </c>
      <c r="F363" t="str">
        <v/>
      </c>
      <c r="I363" t="str">
        <v/>
      </c>
      <c r="J363" t="str">
        <v/>
      </c>
      <c r="K363" t="str">
        <v/>
      </c>
      <c r="L363" t="str">
        <v/>
      </c>
      <c r="M363" t="str">
        <v/>
      </c>
      <c r="N363" t="str">
        <v/>
      </c>
    </row>
    <row r="364" spans="5:14" x14ac:dyDescent="0.25">
      <c r="E364" t="str">
        <v/>
      </c>
      <c r="F364" t="str">
        <v/>
      </c>
      <c r="I364" t="str">
        <v/>
      </c>
      <c r="J364" t="str">
        <v/>
      </c>
      <c r="K364" t="str">
        <v/>
      </c>
      <c r="L364" t="str">
        <v/>
      </c>
      <c r="M364" t="str">
        <v/>
      </c>
      <c r="N364" t="str">
        <v/>
      </c>
    </row>
    <row r="365" spans="5:14" x14ac:dyDescent="0.25">
      <c r="E365" t="str">
        <v/>
      </c>
      <c r="F365" t="str">
        <v/>
      </c>
      <c r="I365" t="str">
        <v/>
      </c>
      <c r="J365" t="str">
        <v/>
      </c>
      <c r="K365" t="str">
        <v/>
      </c>
      <c r="L365" t="str">
        <v/>
      </c>
      <c r="M365" t="str">
        <v/>
      </c>
      <c r="N365" t="str">
        <v/>
      </c>
    </row>
    <row r="366" spans="5:14" x14ac:dyDescent="0.25">
      <c r="E366" t="str">
        <v/>
      </c>
      <c r="F366" t="str">
        <v/>
      </c>
      <c r="I366" t="str">
        <v/>
      </c>
      <c r="J366" t="str">
        <v/>
      </c>
      <c r="K366" t="str">
        <v/>
      </c>
      <c r="L366" t="str">
        <v/>
      </c>
      <c r="M366" t="str">
        <v/>
      </c>
      <c r="N366" t="str">
        <v/>
      </c>
    </row>
    <row r="367" spans="5:14" x14ac:dyDescent="0.25">
      <c r="E367" t="str">
        <v/>
      </c>
      <c r="F367" t="str">
        <v/>
      </c>
      <c r="I367" t="str">
        <v/>
      </c>
      <c r="J367" t="str">
        <v/>
      </c>
      <c r="K367" t="str">
        <v/>
      </c>
      <c r="L367" t="str">
        <v/>
      </c>
      <c r="M367" t="str">
        <v/>
      </c>
      <c r="N367" t="str">
        <v/>
      </c>
    </row>
    <row r="368" spans="5:14" x14ac:dyDescent="0.25">
      <c r="E368" t="str">
        <v/>
      </c>
      <c r="F368" t="str">
        <v/>
      </c>
      <c r="I368" t="str">
        <v/>
      </c>
      <c r="J368" t="str">
        <v/>
      </c>
      <c r="K368" t="str">
        <v/>
      </c>
      <c r="L368" t="str">
        <v/>
      </c>
      <c r="M368" t="str">
        <v/>
      </c>
      <c r="N368" t="str">
        <v/>
      </c>
    </row>
    <row r="369" spans="5:14" x14ac:dyDescent="0.25">
      <c r="E369" t="str">
        <v/>
      </c>
      <c r="F369" t="str">
        <v/>
      </c>
      <c r="I369" t="str">
        <v/>
      </c>
      <c r="J369" t="str">
        <v/>
      </c>
      <c r="K369" t="str">
        <v/>
      </c>
      <c r="L369" t="str">
        <v/>
      </c>
      <c r="M369" t="str">
        <v/>
      </c>
      <c r="N369" t="str">
        <v/>
      </c>
    </row>
    <row r="370" spans="5:14" x14ac:dyDescent="0.25">
      <c r="E370" t="str">
        <v/>
      </c>
      <c r="F370" t="str">
        <v/>
      </c>
      <c r="I370" t="str">
        <v/>
      </c>
      <c r="J370" t="str">
        <v/>
      </c>
      <c r="K370" t="str">
        <v/>
      </c>
      <c r="L370" t="str">
        <v/>
      </c>
      <c r="M370" t="str">
        <v/>
      </c>
      <c r="N370" t="str">
        <v/>
      </c>
    </row>
    <row r="371" spans="5:14" x14ac:dyDescent="0.25">
      <c r="E371" t="str">
        <v/>
      </c>
      <c r="F371" t="str">
        <v/>
      </c>
      <c r="I371" t="str">
        <v/>
      </c>
      <c r="J371" t="str">
        <v/>
      </c>
      <c r="K371" t="str">
        <v/>
      </c>
      <c r="L371" t="str">
        <v/>
      </c>
      <c r="M371" t="str">
        <v/>
      </c>
      <c r="N371" t="str">
        <v/>
      </c>
    </row>
    <row r="372" spans="5:14" x14ac:dyDescent="0.25">
      <c r="E372" t="str">
        <v/>
      </c>
      <c r="F372" t="str">
        <v/>
      </c>
      <c r="I372" t="str">
        <v/>
      </c>
      <c r="J372" t="str">
        <v/>
      </c>
      <c r="K372" t="str">
        <v/>
      </c>
      <c r="L372" t="str">
        <v/>
      </c>
      <c r="M372" t="str">
        <v/>
      </c>
      <c r="N372" t="str">
        <v/>
      </c>
    </row>
    <row r="373" spans="5:14" x14ac:dyDescent="0.25">
      <c r="E373" t="str">
        <v/>
      </c>
      <c r="F373" t="str">
        <v/>
      </c>
      <c r="I373" t="str">
        <v/>
      </c>
      <c r="J373" t="str">
        <v/>
      </c>
      <c r="K373" t="str">
        <v/>
      </c>
      <c r="L373" t="str">
        <v/>
      </c>
      <c r="M373" t="str">
        <v/>
      </c>
      <c r="N373" t="str">
        <v/>
      </c>
    </row>
    <row r="374" spans="5:14" x14ac:dyDescent="0.25">
      <c r="E374" t="str">
        <v/>
      </c>
      <c r="F374" t="str">
        <v/>
      </c>
      <c r="I374" t="str">
        <v/>
      </c>
      <c r="J374" t="str">
        <v/>
      </c>
      <c r="K374" t="str">
        <v/>
      </c>
      <c r="L374" t="str">
        <v/>
      </c>
      <c r="M374" t="str">
        <v/>
      </c>
      <c r="N374" t="str">
        <v/>
      </c>
    </row>
    <row r="375" spans="5:14" x14ac:dyDescent="0.25">
      <c r="E375" t="str">
        <v/>
      </c>
      <c r="F375" t="str">
        <v/>
      </c>
      <c r="I375" t="str">
        <v/>
      </c>
      <c r="J375" t="str">
        <v/>
      </c>
      <c r="K375" t="str">
        <v/>
      </c>
      <c r="L375" t="str">
        <v/>
      </c>
      <c r="M375" t="str">
        <v/>
      </c>
      <c r="N375" t="str">
        <v/>
      </c>
    </row>
    <row r="376" spans="5:14" x14ac:dyDescent="0.25">
      <c r="E376" t="str">
        <v/>
      </c>
      <c r="F376" t="str">
        <v/>
      </c>
      <c r="I376" t="str">
        <v/>
      </c>
      <c r="J376" t="str">
        <v/>
      </c>
      <c r="K376" t="str">
        <v/>
      </c>
      <c r="L376" t="str">
        <v/>
      </c>
      <c r="M376" t="str">
        <v/>
      </c>
      <c r="N376" t="str">
        <v/>
      </c>
    </row>
    <row r="377" spans="5:14" x14ac:dyDescent="0.25">
      <c r="E377" t="str">
        <v/>
      </c>
      <c r="F377" t="str">
        <v/>
      </c>
      <c r="I377" t="str">
        <v/>
      </c>
      <c r="J377" t="str">
        <v/>
      </c>
      <c r="K377" t="str">
        <v/>
      </c>
      <c r="L377" t="str">
        <v/>
      </c>
      <c r="M377" t="str">
        <v/>
      </c>
      <c r="N377" t="str">
        <v/>
      </c>
    </row>
    <row r="378" spans="5:14" x14ac:dyDescent="0.25">
      <c r="E378" t="str">
        <v/>
      </c>
      <c r="F378" t="str">
        <v/>
      </c>
      <c r="I378" t="str">
        <v/>
      </c>
      <c r="J378" t="str">
        <v/>
      </c>
      <c r="K378" t="str">
        <v/>
      </c>
      <c r="L378" t="str">
        <v/>
      </c>
      <c r="M378" t="str">
        <v/>
      </c>
      <c r="N378" t="str">
        <v/>
      </c>
    </row>
    <row r="379" spans="5:14" x14ac:dyDescent="0.25">
      <c r="E379" t="str">
        <v/>
      </c>
      <c r="F379" t="str">
        <v/>
      </c>
      <c r="I379" t="str">
        <v/>
      </c>
      <c r="J379" t="str">
        <v/>
      </c>
      <c r="K379" t="str">
        <v/>
      </c>
      <c r="L379" t="str">
        <v/>
      </c>
      <c r="M379" t="str">
        <v/>
      </c>
      <c r="N379" t="str">
        <v/>
      </c>
    </row>
    <row r="380" spans="5:14" x14ac:dyDescent="0.25">
      <c r="E380" t="str">
        <v/>
      </c>
      <c r="F380" t="str">
        <v/>
      </c>
      <c r="I380" t="str">
        <v/>
      </c>
      <c r="J380" t="str">
        <v/>
      </c>
      <c r="K380" t="str">
        <v/>
      </c>
      <c r="L380" t="str">
        <v/>
      </c>
      <c r="M380" t="str">
        <v/>
      </c>
      <c r="N380" t="str">
        <v/>
      </c>
    </row>
    <row r="381" spans="5:14" x14ac:dyDescent="0.25">
      <c r="E381" t="str">
        <v/>
      </c>
      <c r="F381" t="str">
        <v/>
      </c>
      <c r="I381" t="str">
        <v/>
      </c>
      <c r="J381" t="str">
        <v/>
      </c>
      <c r="K381" t="str">
        <v/>
      </c>
      <c r="L381" t="str">
        <v/>
      </c>
      <c r="M381" t="str">
        <v/>
      </c>
      <c r="N381" t="str">
        <v/>
      </c>
    </row>
    <row r="382" spans="5:14" x14ac:dyDescent="0.25">
      <c r="E382" t="str">
        <v/>
      </c>
      <c r="F382" t="str">
        <v/>
      </c>
      <c r="I382" t="str">
        <v/>
      </c>
      <c r="J382" t="str">
        <v/>
      </c>
      <c r="K382" t="str">
        <v/>
      </c>
      <c r="L382" t="str">
        <v/>
      </c>
      <c r="M382" t="str">
        <v/>
      </c>
      <c r="N382" t="str">
        <v/>
      </c>
    </row>
    <row r="383" spans="5:14" x14ac:dyDescent="0.25">
      <c r="E383" t="str">
        <v/>
      </c>
      <c r="F383" t="str">
        <v/>
      </c>
      <c r="I383" t="str">
        <v/>
      </c>
      <c r="J383" t="str">
        <v/>
      </c>
      <c r="K383" t="str">
        <v/>
      </c>
      <c r="L383" t="str">
        <v/>
      </c>
      <c r="M383" t="str">
        <v/>
      </c>
      <c r="N383" t="str">
        <v/>
      </c>
    </row>
    <row r="384" spans="5:14" x14ac:dyDescent="0.25">
      <c r="E384" t="str">
        <v/>
      </c>
      <c r="F384" t="str">
        <v/>
      </c>
      <c r="I384" t="str">
        <v/>
      </c>
      <c r="J384" t="str">
        <v/>
      </c>
      <c r="K384" t="str">
        <v/>
      </c>
      <c r="L384" t="str">
        <v/>
      </c>
      <c r="M384" t="str">
        <v/>
      </c>
      <c r="N384" t="str">
        <v/>
      </c>
    </row>
    <row r="385" spans="5:14" x14ac:dyDescent="0.25">
      <c r="E385" t="str">
        <v/>
      </c>
      <c r="F385" t="str">
        <v/>
      </c>
      <c r="I385" t="str">
        <v/>
      </c>
      <c r="J385" t="str">
        <v/>
      </c>
      <c r="K385" t="str">
        <v/>
      </c>
      <c r="L385" t="str">
        <v/>
      </c>
      <c r="M385" t="str">
        <v/>
      </c>
      <c r="N385" t="str">
        <v/>
      </c>
    </row>
    <row r="386" spans="5:14" x14ac:dyDescent="0.25">
      <c r="E386" t="str">
        <v/>
      </c>
      <c r="F386" t="str">
        <v/>
      </c>
      <c r="I386" t="str">
        <v/>
      </c>
      <c r="J386" t="str">
        <v/>
      </c>
      <c r="K386" t="str">
        <v/>
      </c>
      <c r="L386" t="str">
        <v/>
      </c>
      <c r="M386" t="str">
        <v/>
      </c>
      <c r="N386" t="str">
        <v/>
      </c>
    </row>
    <row r="387" spans="5:14" x14ac:dyDescent="0.25">
      <c r="E387" t="str">
        <v/>
      </c>
      <c r="F387" t="str">
        <v/>
      </c>
      <c r="I387" t="str">
        <v/>
      </c>
      <c r="J387" t="str">
        <v/>
      </c>
      <c r="K387" t="str">
        <v/>
      </c>
      <c r="L387" t="str">
        <v/>
      </c>
      <c r="M387" t="str">
        <v/>
      </c>
      <c r="N387" t="str">
        <v/>
      </c>
    </row>
    <row r="388" spans="5:14" x14ac:dyDescent="0.25">
      <c r="E388" t="str">
        <v/>
      </c>
      <c r="F388" t="str">
        <v/>
      </c>
      <c r="I388" t="str">
        <v/>
      </c>
      <c r="J388" t="str">
        <v/>
      </c>
      <c r="K388" t="str">
        <v/>
      </c>
      <c r="L388" t="str">
        <v/>
      </c>
      <c r="M388" t="str">
        <v/>
      </c>
      <c r="N388" t="str">
        <v/>
      </c>
    </row>
    <row r="389" spans="5:14" x14ac:dyDescent="0.25">
      <c r="E389" t="str">
        <v/>
      </c>
      <c r="F389" t="str">
        <v/>
      </c>
      <c r="I389" t="str">
        <v/>
      </c>
      <c r="J389" t="str">
        <v/>
      </c>
      <c r="K389" t="str">
        <v/>
      </c>
      <c r="L389" t="str">
        <v/>
      </c>
      <c r="M389" t="str">
        <v/>
      </c>
      <c r="N389" t="str">
        <v/>
      </c>
    </row>
    <row r="390" spans="5:14" x14ac:dyDescent="0.25">
      <c r="E390" t="str">
        <v/>
      </c>
      <c r="F390" t="str">
        <v/>
      </c>
      <c r="I390" t="str">
        <v/>
      </c>
      <c r="J390" t="str">
        <v/>
      </c>
      <c r="K390" t="str">
        <v/>
      </c>
      <c r="L390" t="str">
        <v/>
      </c>
      <c r="M390" t="str">
        <v/>
      </c>
      <c r="N390" t="str">
        <v/>
      </c>
    </row>
    <row r="391" spans="5:14" x14ac:dyDescent="0.25">
      <c r="E391" t="str">
        <v/>
      </c>
      <c r="F391" t="str">
        <v/>
      </c>
      <c r="I391" t="str">
        <v/>
      </c>
      <c r="J391" t="str">
        <v/>
      </c>
      <c r="K391" t="str">
        <v/>
      </c>
      <c r="L391" t="str">
        <v/>
      </c>
      <c r="M391" t="str">
        <v/>
      </c>
      <c r="N391" t="str">
        <v/>
      </c>
    </row>
    <row r="392" spans="5:14" x14ac:dyDescent="0.25">
      <c r="E392" t="str">
        <v/>
      </c>
      <c r="F392" t="str">
        <v/>
      </c>
      <c r="I392" t="str">
        <v/>
      </c>
      <c r="J392" t="str">
        <v/>
      </c>
      <c r="K392" t="str">
        <v/>
      </c>
      <c r="L392" t="str">
        <v/>
      </c>
      <c r="M392" t="str">
        <v/>
      </c>
      <c r="N392" t="str">
        <v/>
      </c>
    </row>
    <row r="393" spans="5:14" x14ac:dyDescent="0.25">
      <c r="E393" t="str">
        <v/>
      </c>
      <c r="F393" t="str">
        <v/>
      </c>
      <c r="I393" t="str">
        <v/>
      </c>
      <c r="J393" t="str">
        <v/>
      </c>
      <c r="K393" t="str">
        <v/>
      </c>
      <c r="L393" t="str">
        <v/>
      </c>
      <c r="M393" t="str">
        <v/>
      </c>
      <c r="N393" t="str">
        <v/>
      </c>
    </row>
    <row r="394" spans="5:14" x14ac:dyDescent="0.25">
      <c r="E394" t="str">
        <v/>
      </c>
      <c r="F394" t="str">
        <v/>
      </c>
      <c r="I394" t="str">
        <v/>
      </c>
      <c r="J394" t="str">
        <v/>
      </c>
      <c r="K394" t="str">
        <v/>
      </c>
      <c r="L394" t="str">
        <v/>
      </c>
      <c r="M394" t="str">
        <v/>
      </c>
      <c r="N394" t="str">
        <v/>
      </c>
    </row>
    <row r="395" spans="5:14" x14ac:dyDescent="0.25">
      <c r="E395" t="str">
        <v/>
      </c>
      <c r="F395" t="str">
        <v/>
      </c>
      <c r="I395" t="str">
        <v/>
      </c>
      <c r="J395" t="str">
        <v/>
      </c>
      <c r="K395" t="str">
        <v/>
      </c>
      <c r="L395" t="str">
        <v/>
      </c>
      <c r="M395" t="str">
        <v/>
      </c>
      <c r="N395" t="str">
        <v/>
      </c>
    </row>
    <row r="396" spans="5:14" x14ac:dyDescent="0.25">
      <c r="E396" t="str">
        <v/>
      </c>
      <c r="F396" t="str">
        <v/>
      </c>
      <c r="I396" t="str">
        <v/>
      </c>
      <c r="J396" t="str">
        <v/>
      </c>
      <c r="K396" t="str">
        <v/>
      </c>
      <c r="L396" t="str">
        <v/>
      </c>
      <c r="M396" t="str">
        <v/>
      </c>
      <c r="N396" t="str">
        <v/>
      </c>
    </row>
    <row r="397" spans="5:14" x14ac:dyDescent="0.25">
      <c r="E397" t="str">
        <v/>
      </c>
      <c r="F397" t="str">
        <v/>
      </c>
      <c r="I397" t="str">
        <v/>
      </c>
      <c r="J397" t="str">
        <v/>
      </c>
      <c r="K397" t="str">
        <v/>
      </c>
      <c r="L397" t="str">
        <v/>
      </c>
      <c r="M397" t="str">
        <v/>
      </c>
      <c r="N397" t="str">
        <v/>
      </c>
    </row>
    <row r="398" spans="5:14" x14ac:dyDescent="0.25">
      <c r="E398" t="str">
        <v/>
      </c>
      <c r="F398" t="str">
        <v/>
      </c>
      <c r="I398" t="str">
        <v/>
      </c>
      <c r="J398" t="str">
        <v/>
      </c>
      <c r="K398" t="str">
        <v/>
      </c>
      <c r="L398" t="str">
        <v/>
      </c>
      <c r="M398" t="str">
        <v/>
      </c>
      <c r="N398" t="str">
        <v/>
      </c>
    </row>
    <row r="399" spans="5:14" x14ac:dyDescent="0.25">
      <c r="E399" t="str">
        <v/>
      </c>
      <c r="F399" t="str">
        <v/>
      </c>
      <c r="I399" t="str">
        <v/>
      </c>
      <c r="J399" t="str">
        <v/>
      </c>
      <c r="K399" t="str">
        <v/>
      </c>
      <c r="L399" t="str">
        <v/>
      </c>
      <c r="M399" t="str">
        <v/>
      </c>
      <c r="N399" t="str">
        <v/>
      </c>
    </row>
    <row r="400" spans="5:14" x14ac:dyDescent="0.25">
      <c r="E400" t="str">
        <v/>
      </c>
      <c r="F400" t="str">
        <v/>
      </c>
      <c r="I400" t="str">
        <v/>
      </c>
      <c r="J400" t="str">
        <v/>
      </c>
      <c r="K400" t="str">
        <v/>
      </c>
      <c r="L400" t="str">
        <v/>
      </c>
      <c r="M400" t="str">
        <v/>
      </c>
      <c r="N400" t="str">
        <v/>
      </c>
    </row>
    <row r="401" spans="5:14" x14ac:dyDescent="0.25">
      <c r="E401" t="str">
        <v/>
      </c>
      <c r="F401" t="str">
        <v/>
      </c>
      <c r="I401" t="str">
        <v/>
      </c>
      <c r="J401" t="str">
        <v/>
      </c>
      <c r="K401" t="str">
        <v/>
      </c>
      <c r="L401" t="str">
        <v/>
      </c>
      <c r="M401" t="str">
        <v/>
      </c>
      <c r="N401" t="str">
        <v/>
      </c>
    </row>
    <row r="402" spans="5:14" x14ac:dyDescent="0.25">
      <c r="E402" t="str">
        <v/>
      </c>
      <c r="F402" t="str">
        <v/>
      </c>
      <c r="I402" t="str">
        <v/>
      </c>
      <c r="J402" t="str">
        <v/>
      </c>
      <c r="K402" t="str">
        <v/>
      </c>
      <c r="L402" t="str">
        <v/>
      </c>
      <c r="M402" t="str">
        <v/>
      </c>
      <c r="N402" t="str">
        <v/>
      </c>
    </row>
    <row r="403" spans="5:14" x14ac:dyDescent="0.25">
      <c r="E403" t="str">
        <v/>
      </c>
      <c r="F403" t="str">
        <v/>
      </c>
      <c r="I403" t="str">
        <v/>
      </c>
      <c r="J403" t="str">
        <v/>
      </c>
      <c r="K403" t="str">
        <v/>
      </c>
      <c r="L403" t="str">
        <v/>
      </c>
      <c r="M403" t="str">
        <v/>
      </c>
      <c r="N403" t="str">
        <v/>
      </c>
    </row>
    <row r="404" spans="5:14" x14ac:dyDescent="0.25">
      <c r="E404" t="str">
        <v/>
      </c>
      <c r="F404" t="str">
        <v/>
      </c>
      <c r="I404" t="str">
        <v/>
      </c>
      <c r="J404" t="str">
        <v/>
      </c>
      <c r="K404" t="str">
        <v/>
      </c>
      <c r="L404" t="str">
        <v/>
      </c>
      <c r="M404" t="str">
        <v/>
      </c>
      <c r="N404" t="str">
        <v/>
      </c>
    </row>
    <row r="405" spans="5:14" x14ac:dyDescent="0.25">
      <c r="E405" t="str">
        <v/>
      </c>
      <c r="F405" t="str">
        <v/>
      </c>
      <c r="I405" t="str">
        <v/>
      </c>
      <c r="J405" t="str">
        <v/>
      </c>
      <c r="K405" t="str">
        <v/>
      </c>
      <c r="L405" t="str">
        <v/>
      </c>
      <c r="M405" t="str">
        <v/>
      </c>
      <c r="N405" t="str">
        <v/>
      </c>
    </row>
    <row r="406" spans="5:14" x14ac:dyDescent="0.25">
      <c r="E406" t="str">
        <v/>
      </c>
      <c r="F406" t="str">
        <v/>
      </c>
      <c r="I406" t="str">
        <v/>
      </c>
      <c r="J406" t="str">
        <v/>
      </c>
      <c r="K406" t="str">
        <v/>
      </c>
      <c r="L406" t="str">
        <v/>
      </c>
      <c r="M406" t="str">
        <v/>
      </c>
      <c r="N406" t="str">
        <v/>
      </c>
    </row>
    <row r="407" spans="5:14" x14ac:dyDescent="0.25">
      <c r="E407" t="str">
        <v/>
      </c>
      <c r="F407" t="str">
        <v/>
      </c>
      <c r="I407" t="str">
        <v/>
      </c>
      <c r="J407" t="str">
        <v/>
      </c>
      <c r="K407" t="str">
        <v/>
      </c>
      <c r="L407" t="str">
        <v/>
      </c>
      <c r="M407" t="str">
        <v/>
      </c>
      <c r="N407" t="str">
        <v/>
      </c>
    </row>
    <row r="408" spans="5:14" x14ac:dyDescent="0.25">
      <c r="E408" t="str">
        <v/>
      </c>
      <c r="F408" t="str">
        <v/>
      </c>
      <c r="I408" t="str">
        <v/>
      </c>
      <c r="J408" t="str">
        <v/>
      </c>
      <c r="K408" t="str">
        <v/>
      </c>
      <c r="L408" t="str">
        <v/>
      </c>
      <c r="M408" t="str">
        <v/>
      </c>
      <c r="N408" t="str">
        <v/>
      </c>
    </row>
    <row r="409" spans="5:14" x14ac:dyDescent="0.25">
      <c r="E409" t="str">
        <v/>
      </c>
      <c r="F409" t="str">
        <v/>
      </c>
      <c r="I409" t="str">
        <v/>
      </c>
      <c r="J409" t="str">
        <v/>
      </c>
      <c r="K409" t="str">
        <v/>
      </c>
      <c r="L409" t="str">
        <v/>
      </c>
      <c r="M409" t="str">
        <v/>
      </c>
      <c r="N409" t="str">
        <v/>
      </c>
    </row>
    <row r="410" spans="5:14" x14ac:dyDescent="0.25">
      <c r="E410" t="str">
        <v/>
      </c>
      <c r="F410" t="str">
        <v/>
      </c>
      <c r="I410" t="str">
        <v/>
      </c>
      <c r="J410" t="str">
        <v/>
      </c>
      <c r="K410" t="str">
        <v/>
      </c>
      <c r="L410" t="str">
        <v/>
      </c>
      <c r="M410" t="str">
        <v/>
      </c>
      <c r="N410" t="str">
        <v/>
      </c>
    </row>
    <row r="411" spans="5:14" x14ac:dyDescent="0.25">
      <c r="E411" t="str">
        <v/>
      </c>
      <c r="F411" t="str">
        <v/>
      </c>
      <c r="I411" t="str">
        <v/>
      </c>
      <c r="J411" t="str">
        <v/>
      </c>
      <c r="K411" t="str">
        <v/>
      </c>
      <c r="L411" t="str">
        <v/>
      </c>
      <c r="M411" t="str">
        <v/>
      </c>
      <c r="N411" t="str">
        <v/>
      </c>
    </row>
    <row r="412" spans="5:14" x14ac:dyDescent="0.25">
      <c r="E412" t="str">
        <v/>
      </c>
      <c r="F412" t="str">
        <v/>
      </c>
      <c r="I412" t="str">
        <v/>
      </c>
      <c r="J412" t="str">
        <v/>
      </c>
      <c r="K412" t="str">
        <v/>
      </c>
      <c r="L412" t="str">
        <v/>
      </c>
      <c r="M412" t="str">
        <v/>
      </c>
      <c r="N412" t="str">
        <v/>
      </c>
    </row>
    <row r="413" spans="5:14" x14ac:dyDescent="0.25">
      <c r="E413" t="str">
        <v/>
      </c>
      <c r="F413" t="str">
        <v/>
      </c>
      <c r="I413" t="str">
        <v/>
      </c>
      <c r="J413" t="str">
        <v/>
      </c>
      <c r="K413" t="str">
        <v/>
      </c>
      <c r="L413" t="str">
        <v/>
      </c>
      <c r="M413" t="str">
        <v/>
      </c>
      <c r="N413" t="str">
        <v/>
      </c>
    </row>
    <row r="414" spans="5:14" x14ac:dyDescent="0.25">
      <c r="E414" t="str">
        <v/>
      </c>
      <c r="F414" t="str">
        <v/>
      </c>
      <c r="I414" t="str">
        <v/>
      </c>
      <c r="J414" t="str">
        <v/>
      </c>
      <c r="K414" t="str">
        <v/>
      </c>
      <c r="L414" t="str">
        <v/>
      </c>
      <c r="M414" t="str">
        <v/>
      </c>
      <c r="N414" t="str">
        <v/>
      </c>
    </row>
    <row r="415" spans="5:14" x14ac:dyDescent="0.25">
      <c r="E415" t="str">
        <v/>
      </c>
      <c r="F415" t="str">
        <v/>
      </c>
      <c r="I415" t="str">
        <v/>
      </c>
      <c r="J415" t="str">
        <v/>
      </c>
      <c r="K415" t="str">
        <v/>
      </c>
      <c r="L415" t="str">
        <v/>
      </c>
      <c r="M415" t="str">
        <v/>
      </c>
      <c r="N415" t="str">
        <v/>
      </c>
    </row>
    <row r="416" spans="5:14" x14ac:dyDescent="0.25">
      <c r="E416" t="str">
        <v/>
      </c>
      <c r="F416" t="str">
        <v/>
      </c>
      <c r="I416" t="str">
        <v/>
      </c>
      <c r="J416" t="str">
        <v/>
      </c>
      <c r="K416" t="str">
        <v/>
      </c>
      <c r="L416" t="str">
        <v/>
      </c>
      <c r="M416" t="str">
        <v/>
      </c>
      <c r="N416" t="str">
        <v/>
      </c>
    </row>
    <row r="417" spans="5:14" x14ac:dyDescent="0.25">
      <c r="E417" t="str">
        <v/>
      </c>
      <c r="F417" t="str">
        <v/>
      </c>
      <c r="I417" t="str">
        <v/>
      </c>
      <c r="J417" t="str">
        <v/>
      </c>
      <c r="K417" t="str">
        <v/>
      </c>
      <c r="L417" t="str">
        <v/>
      </c>
      <c r="M417" t="str">
        <v/>
      </c>
      <c r="N417" t="str">
        <v/>
      </c>
    </row>
    <row r="418" spans="5:14" x14ac:dyDescent="0.25">
      <c r="E418" t="str">
        <v/>
      </c>
      <c r="F418" t="str">
        <v/>
      </c>
      <c r="I418" t="str">
        <v/>
      </c>
      <c r="J418" t="str">
        <v/>
      </c>
      <c r="K418" t="str">
        <v/>
      </c>
      <c r="L418" t="str">
        <v/>
      </c>
      <c r="M418" t="str">
        <v/>
      </c>
      <c r="N418" t="str">
        <v/>
      </c>
    </row>
    <row r="419" spans="5:14" x14ac:dyDescent="0.25">
      <c r="E419" t="str">
        <v/>
      </c>
      <c r="F419" t="str">
        <v/>
      </c>
      <c r="I419" t="str">
        <v/>
      </c>
      <c r="J419" t="str">
        <v/>
      </c>
      <c r="K419" t="str">
        <v/>
      </c>
      <c r="L419" t="str">
        <v/>
      </c>
      <c r="M419" t="str">
        <v/>
      </c>
      <c r="N419" t="str">
        <v/>
      </c>
    </row>
    <row r="420" spans="5:14" x14ac:dyDescent="0.25">
      <c r="E420" t="str">
        <v/>
      </c>
      <c r="F420" t="str">
        <v/>
      </c>
      <c r="I420" t="str">
        <v/>
      </c>
      <c r="J420" t="str">
        <v/>
      </c>
      <c r="K420" t="str">
        <v/>
      </c>
      <c r="L420" t="str">
        <v/>
      </c>
      <c r="M420" t="str">
        <v/>
      </c>
      <c r="N420" t="str">
        <v/>
      </c>
    </row>
    <row r="421" spans="5:14" x14ac:dyDescent="0.25">
      <c r="E421" t="str">
        <v/>
      </c>
      <c r="F421" t="str">
        <v/>
      </c>
      <c r="I421" t="str">
        <v/>
      </c>
      <c r="J421" t="str">
        <v/>
      </c>
      <c r="K421" t="str">
        <v/>
      </c>
      <c r="L421" t="str">
        <v/>
      </c>
      <c r="M421" t="str">
        <v/>
      </c>
      <c r="N421" t="str">
        <v/>
      </c>
    </row>
    <row r="422" spans="5:14" x14ac:dyDescent="0.25">
      <c r="E422" t="str">
        <v/>
      </c>
      <c r="F422" t="str">
        <v/>
      </c>
      <c r="I422" t="str">
        <v/>
      </c>
      <c r="J422" t="str">
        <v/>
      </c>
      <c r="K422" t="str">
        <v/>
      </c>
      <c r="L422" t="str">
        <v/>
      </c>
      <c r="M422" t="str">
        <v/>
      </c>
      <c r="N422" t="str">
        <v/>
      </c>
    </row>
    <row r="423" spans="5:14" x14ac:dyDescent="0.25">
      <c r="E423" t="str">
        <v/>
      </c>
      <c r="F423" t="str">
        <v/>
      </c>
      <c r="I423" t="str">
        <v/>
      </c>
      <c r="J423" t="str">
        <v/>
      </c>
      <c r="K423" t="str">
        <v/>
      </c>
      <c r="L423" t="str">
        <v/>
      </c>
      <c r="M423" t="str">
        <v/>
      </c>
      <c r="N423" t="str">
        <v/>
      </c>
    </row>
    <row r="424" spans="5:14" x14ac:dyDescent="0.25">
      <c r="E424" t="str">
        <v/>
      </c>
      <c r="F424" t="str">
        <v/>
      </c>
      <c r="I424" t="str">
        <v/>
      </c>
      <c r="J424" t="str">
        <v/>
      </c>
      <c r="K424" t="str">
        <v/>
      </c>
      <c r="L424" t="str">
        <v/>
      </c>
      <c r="M424" t="str">
        <v/>
      </c>
      <c r="N424" t="str">
        <v/>
      </c>
    </row>
    <row r="425" spans="5:14" x14ac:dyDescent="0.25">
      <c r="E425" t="str">
        <v/>
      </c>
      <c r="F425" t="str">
        <v/>
      </c>
      <c r="I425" t="str">
        <v/>
      </c>
      <c r="J425" t="str">
        <v/>
      </c>
      <c r="K425" t="str">
        <v/>
      </c>
      <c r="L425" t="str">
        <v/>
      </c>
      <c r="M425" t="str">
        <v/>
      </c>
      <c r="N425" t="str">
        <v/>
      </c>
    </row>
    <row r="426" spans="5:14" x14ac:dyDescent="0.25">
      <c r="E426" t="str">
        <v/>
      </c>
      <c r="F426" t="str">
        <v/>
      </c>
      <c r="I426" t="str">
        <v/>
      </c>
      <c r="J426" t="str">
        <v/>
      </c>
      <c r="K426" t="str">
        <v/>
      </c>
      <c r="L426" t="str">
        <v/>
      </c>
      <c r="M426" t="str">
        <v/>
      </c>
      <c r="N426" t="str">
        <v/>
      </c>
    </row>
    <row r="427" spans="5:14" x14ac:dyDescent="0.25">
      <c r="E427" t="str">
        <v/>
      </c>
      <c r="F427" t="str">
        <v/>
      </c>
      <c r="I427" t="str">
        <v/>
      </c>
      <c r="J427" t="str">
        <v/>
      </c>
      <c r="K427" t="str">
        <v/>
      </c>
      <c r="L427" t="str">
        <v/>
      </c>
      <c r="M427" t="str">
        <v/>
      </c>
      <c r="N427" t="str">
        <v/>
      </c>
    </row>
    <row r="428" spans="5:14" x14ac:dyDescent="0.25">
      <c r="E428" t="str">
        <v/>
      </c>
      <c r="F428" t="str">
        <v/>
      </c>
      <c r="I428" t="str">
        <v/>
      </c>
      <c r="J428" t="str">
        <v/>
      </c>
      <c r="K428" t="str">
        <v/>
      </c>
      <c r="L428" t="str">
        <v/>
      </c>
      <c r="M428" t="str">
        <v/>
      </c>
      <c r="N428" t="str">
        <v/>
      </c>
    </row>
    <row r="429" spans="5:14" x14ac:dyDescent="0.25">
      <c r="E429" t="str">
        <v/>
      </c>
      <c r="F429" t="str">
        <v/>
      </c>
      <c r="I429" t="str">
        <v/>
      </c>
      <c r="J429" t="str">
        <v/>
      </c>
      <c r="K429" t="str">
        <v/>
      </c>
      <c r="L429" t="str">
        <v/>
      </c>
      <c r="M429" t="str">
        <v/>
      </c>
      <c r="N429" t="str">
        <v/>
      </c>
    </row>
    <row r="430" spans="5:14" x14ac:dyDescent="0.25">
      <c r="E430" t="str">
        <v/>
      </c>
      <c r="F430" t="str">
        <v/>
      </c>
      <c r="I430" t="str">
        <v/>
      </c>
      <c r="J430" t="str">
        <v/>
      </c>
      <c r="K430" t="str">
        <v/>
      </c>
      <c r="L430" t="str">
        <v/>
      </c>
      <c r="M430" t="str">
        <v/>
      </c>
      <c r="N430" t="str">
        <v/>
      </c>
    </row>
    <row r="431" spans="5:14" x14ac:dyDescent="0.25">
      <c r="E431" t="str">
        <v/>
      </c>
      <c r="F431" t="str">
        <v/>
      </c>
      <c r="I431" t="str">
        <v/>
      </c>
      <c r="J431" t="str">
        <v/>
      </c>
      <c r="K431" t="str">
        <v/>
      </c>
      <c r="L431" t="str">
        <v/>
      </c>
      <c r="M431" t="str">
        <v/>
      </c>
      <c r="N431" t="str">
        <v/>
      </c>
    </row>
    <row r="432" spans="5:14" x14ac:dyDescent="0.25">
      <c r="E432" t="str">
        <v/>
      </c>
      <c r="F432" t="str">
        <v/>
      </c>
      <c r="I432" t="str">
        <v/>
      </c>
      <c r="J432" t="str">
        <v/>
      </c>
      <c r="K432" t="str">
        <v/>
      </c>
      <c r="L432" t="str">
        <v/>
      </c>
      <c r="M432" t="str">
        <v/>
      </c>
      <c r="N432" t="str">
        <v/>
      </c>
    </row>
    <row r="433" spans="5:14" x14ac:dyDescent="0.25">
      <c r="E433" t="str">
        <v/>
      </c>
      <c r="F433" t="str">
        <v/>
      </c>
      <c r="I433" t="str">
        <v/>
      </c>
      <c r="J433" t="str">
        <v/>
      </c>
      <c r="K433" t="str">
        <v/>
      </c>
      <c r="L433" t="str">
        <v/>
      </c>
      <c r="M433" t="str">
        <v/>
      </c>
      <c r="N433" t="str">
        <v/>
      </c>
    </row>
    <row r="434" spans="5:14" x14ac:dyDescent="0.25">
      <c r="E434" t="str">
        <v/>
      </c>
      <c r="F434" t="str">
        <v/>
      </c>
      <c r="I434" t="str">
        <v/>
      </c>
      <c r="J434" t="str">
        <v/>
      </c>
      <c r="K434" t="str">
        <v/>
      </c>
      <c r="L434" t="str">
        <v/>
      </c>
      <c r="M434" t="str">
        <v/>
      </c>
      <c r="N434" t="str">
        <v/>
      </c>
    </row>
    <row r="435" spans="5:14" x14ac:dyDescent="0.25">
      <c r="E435" t="str">
        <v/>
      </c>
      <c r="F435" t="str">
        <v/>
      </c>
      <c r="I435" t="str">
        <v/>
      </c>
      <c r="J435" t="str">
        <v/>
      </c>
      <c r="K435" t="str">
        <v/>
      </c>
      <c r="L435" t="str">
        <v/>
      </c>
      <c r="M435" t="str">
        <v/>
      </c>
      <c r="N435" t="str">
        <v/>
      </c>
    </row>
    <row r="436" spans="5:14" x14ac:dyDescent="0.25">
      <c r="E436" t="str">
        <v/>
      </c>
      <c r="F436" t="str">
        <v/>
      </c>
      <c r="I436" t="str">
        <v/>
      </c>
      <c r="J436" t="str">
        <v/>
      </c>
      <c r="K436" t="str">
        <v/>
      </c>
      <c r="L436" t="str">
        <v/>
      </c>
      <c r="M436" t="str">
        <v/>
      </c>
      <c r="N436" t="str">
        <v/>
      </c>
    </row>
    <row r="437" spans="5:14" x14ac:dyDescent="0.25">
      <c r="E437" t="str">
        <v/>
      </c>
      <c r="F437" t="str">
        <v/>
      </c>
      <c r="I437" t="str">
        <v/>
      </c>
      <c r="J437" t="str">
        <v/>
      </c>
      <c r="K437" t="str">
        <v/>
      </c>
      <c r="L437" t="str">
        <v/>
      </c>
      <c r="M437" t="str">
        <v/>
      </c>
      <c r="N437" t="str">
        <v/>
      </c>
    </row>
    <row r="438" spans="5:14" x14ac:dyDescent="0.25">
      <c r="E438" t="str">
        <v/>
      </c>
      <c r="F438" t="str">
        <v/>
      </c>
      <c r="I438" t="str">
        <v/>
      </c>
      <c r="J438" t="str">
        <v/>
      </c>
      <c r="K438" t="str">
        <v/>
      </c>
      <c r="L438" t="str">
        <v/>
      </c>
      <c r="M438" t="str">
        <v/>
      </c>
      <c r="N438" t="str">
        <v/>
      </c>
    </row>
    <row r="439" spans="5:14" x14ac:dyDescent="0.25">
      <c r="E439" t="str">
        <v/>
      </c>
      <c r="F439" t="str">
        <v/>
      </c>
      <c r="I439" t="str">
        <v/>
      </c>
      <c r="J439" t="str">
        <v/>
      </c>
      <c r="K439" t="str">
        <v/>
      </c>
      <c r="L439" t="str">
        <v/>
      </c>
      <c r="M439" t="str">
        <v/>
      </c>
      <c r="N439" t="str">
        <v/>
      </c>
    </row>
    <row r="440" spans="5:14" x14ac:dyDescent="0.25">
      <c r="E440" t="str">
        <v/>
      </c>
      <c r="F440" t="str">
        <v/>
      </c>
      <c r="I440" t="str">
        <v/>
      </c>
      <c r="J440" t="str">
        <v/>
      </c>
      <c r="K440" t="str">
        <v/>
      </c>
      <c r="L440" t="str">
        <v/>
      </c>
      <c r="M440" t="str">
        <v/>
      </c>
      <c r="N440" t="str">
        <v/>
      </c>
    </row>
    <row r="441" spans="5:14" x14ac:dyDescent="0.25">
      <c r="E441" t="str">
        <v/>
      </c>
      <c r="F441" t="str">
        <v/>
      </c>
      <c r="I441" t="str">
        <v/>
      </c>
      <c r="J441" t="str">
        <v/>
      </c>
      <c r="K441" t="str">
        <v/>
      </c>
      <c r="L441" t="str">
        <v/>
      </c>
      <c r="M441" t="str">
        <v/>
      </c>
      <c r="N441" t="str">
        <v/>
      </c>
    </row>
    <row r="442" spans="5:14" x14ac:dyDescent="0.25">
      <c r="E442" t="str">
        <v/>
      </c>
      <c r="F442" t="str">
        <v/>
      </c>
      <c r="I442" t="str">
        <v/>
      </c>
      <c r="J442" t="str">
        <v/>
      </c>
      <c r="K442" t="str">
        <v/>
      </c>
      <c r="L442" t="str">
        <v/>
      </c>
      <c r="M442" t="str">
        <v/>
      </c>
      <c r="N442" t="str">
        <v/>
      </c>
    </row>
    <row r="443" spans="5:14" x14ac:dyDescent="0.25">
      <c r="E443" t="str">
        <v/>
      </c>
      <c r="F443" t="str">
        <v/>
      </c>
      <c r="I443" t="str">
        <v/>
      </c>
      <c r="J443" t="str">
        <v/>
      </c>
      <c r="K443" t="str">
        <v/>
      </c>
      <c r="L443" t="str">
        <v/>
      </c>
      <c r="M443" t="str">
        <v/>
      </c>
      <c r="N443" t="str">
        <v/>
      </c>
    </row>
    <row r="444" spans="5:14" x14ac:dyDescent="0.25">
      <c r="E444" t="str">
        <v/>
      </c>
      <c r="F444" t="str">
        <v/>
      </c>
      <c r="I444" t="str">
        <v/>
      </c>
      <c r="J444" t="str">
        <v/>
      </c>
      <c r="K444" t="str">
        <v/>
      </c>
      <c r="L444" t="str">
        <v/>
      </c>
      <c r="M444" t="str">
        <v/>
      </c>
      <c r="N444" t="str">
        <v/>
      </c>
    </row>
    <row r="445" spans="5:14" x14ac:dyDescent="0.25">
      <c r="E445" t="str">
        <v/>
      </c>
      <c r="F445" t="str">
        <v/>
      </c>
      <c r="I445" t="str">
        <v/>
      </c>
      <c r="J445" t="str">
        <v/>
      </c>
      <c r="K445" t="str">
        <v/>
      </c>
      <c r="L445" t="str">
        <v/>
      </c>
      <c r="M445" t="str">
        <v/>
      </c>
      <c r="N445" t="str">
        <v/>
      </c>
    </row>
    <row r="446" spans="5:14" x14ac:dyDescent="0.25">
      <c r="E446" t="str">
        <v/>
      </c>
      <c r="F446" t="str">
        <v/>
      </c>
      <c r="I446" t="str">
        <v/>
      </c>
      <c r="J446" t="str">
        <v/>
      </c>
      <c r="K446" t="str">
        <v/>
      </c>
      <c r="L446" t="str">
        <v/>
      </c>
      <c r="M446" t="str">
        <v/>
      </c>
      <c r="N446" t="str">
        <v/>
      </c>
    </row>
    <row r="447" spans="5:14" x14ac:dyDescent="0.25">
      <c r="E447" t="str">
        <v/>
      </c>
      <c r="F447" t="str">
        <v/>
      </c>
      <c r="I447" t="str">
        <v/>
      </c>
      <c r="J447" t="str">
        <v/>
      </c>
      <c r="K447" t="str">
        <v/>
      </c>
      <c r="L447" t="str">
        <v/>
      </c>
      <c r="M447" t="str">
        <v/>
      </c>
      <c r="N447" t="str">
        <v/>
      </c>
    </row>
    <row r="448" spans="5:14" x14ac:dyDescent="0.25">
      <c r="E448" t="str">
        <v/>
      </c>
      <c r="F448" t="str">
        <v/>
      </c>
      <c r="I448" t="str">
        <v/>
      </c>
      <c r="J448" t="str">
        <v/>
      </c>
      <c r="K448" t="str">
        <v/>
      </c>
      <c r="L448" t="str">
        <v/>
      </c>
      <c r="M448" t="str">
        <v/>
      </c>
      <c r="N448" t="str">
        <v/>
      </c>
    </row>
    <row r="449" spans="5:14" x14ac:dyDescent="0.25">
      <c r="E449" t="str">
        <v/>
      </c>
      <c r="F449" t="str">
        <v/>
      </c>
      <c r="I449" t="str">
        <v/>
      </c>
      <c r="J449" t="str">
        <v/>
      </c>
      <c r="K449" t="str">
        <v/>
      </c>
      <c r="L449" t="str">
        <v/>
      </c>
      <c r="M449" t="str">
        <v/>
      </c>
      <c r="N449" t="str">
        <v/>
      </c>
    </row>
    <row r="450" spans="5:14" x14ac:dyDescent="0.25">
      <c r="E450" t="str">
        <v/>
      </c>
      <c r="F450" t="str">
        <v/>
      </c>
      <c r="I450" t="str">
        <v/>
      </c>
      <c r="J450" t="str">
        <v/>
      </c>
      <c r="K450" t="str">
        <v/>
      </c>
      <c r="L450" t="str">
        <v/>
      </c>
      <c r="M450" t="str">
        <v/>
      </c>
      <c r="N450" t="str">
        <v/>
      </c>
    </row>
    <row r="451" spans="5:14" x14ac:dyDescent="0.25">
      <c r="E451" t="str">
        <v/>
      </c>
      <c r="F451" t="str">
        <v/>
      </c>
      <c r="I451" t="str">
        <v/>
      </c>
      <c r="J451" t="str">
        <v/>
      </c>
      <c r="K451" t="str">
        <v/>
      </c>
      <c r="L451" t="str">
        <v/>
      </c>
      <c r="M451" t="str">
        <v/>
      </c>
      <c r="N451" t="str">
        <v/>
      </c>
    </row>
    <row r="452" spans="5:14" x14ac:dyDescent="0.25">
      <c r="E452" t="str">
        <v/>
      </c>
      <c r="F452" t="str">
        <v/>
      </c>
      <c r="I452" t="str">
        <v/>
      </c>
      <c r="J452" t="str">
        <v/>
      </c>
      <c r="K452" t="str">
        <v/>
      </c>
      <c r="L452" t="str">
        <v/>
      </c>
      <c r="M452" t="str">
        <v/>
      </c>
      <c r="N452" t="str">
        <v/>
      </c>
    </row>
    <row r="453" spans="5:14" x14ac:dyDescent="0.25">
      <c r="E453" t="str">
        <v/>
      </c>
      <c r="F453" t="str">
        <v/>
      </c>
      <c r="I453" t="str">
        <v/>
      </c>
      <c r="J453" t="str">
        <v/>
      </c>
      <c r="K453" t="str">
        <v/>
      </c>
      <c r="L453" t="str">
        <v/>
      </c>
      <c r="M453" t="str">
        <v/>
      </c>
      <c r="N453" t="str">
        <v/>
      </c>
    </row>
    <row r="454" spans="5:14" x14ac:dyDescent="0.25">
      <c r="E454" t="str">
        <v/>
      </c>
      <c r="F454" t="str">
        <v/>
      </c>
      <c r="I454" t="str">
        <v/>
      </c>
      <c r="J454" t="str">
        <v/>
      </c>
      <c r="K454" t="str">
        <v/>
      </c>
      <c r="L454" t="str">
        <v/>
      </c>
      <c r="M454" t="str">
        <v/>
      </c>
      <c r="N454" t="str">
        <v/>
      </c>
    </row>
    <row r="455" spans="5:14" x14ac:dyDescent="0.25">
      <c r="E455" t="str">
        <v/>
      </c>
      <c r="F455" t="str">
        <v/>
      </c>
      <c r="I455" t="str">
        <v/>
      </c>
      <c r="J455" t="str">
        <v/>
      </c>
      <c r="K455" t="str">
        <v/>
      </c>
      <c r="L455" t="str">
        <v/>
      </c>
      <c r="M455" t="str">
        <v/>
      </c>
      <c r="N455" t="str">
        <v/>
      </c>
    </row>
    <row r="456" spans="5:14" x14ac:dyDescent="0.25">
      <c r="E456" t="str">
        <v/>
      </c>
      <c r="F456" t="str">
        <v/>
      </c>
      <c r="I456" t="str">
        <v/>
      </c>
      <c r="J456" t="str">
        <v/>
      </c>
      <c r="K456" t="str">
        <v/>
      </c>
      <c r="L456" t="str">
        <v/>
      </c>
      <c r="M456" t="str">
        <v/>
      </c>
      <c r="N456" t="str">
        <v/>
      </c>
    </row>
    <row r="457" spans="5:14" x14ac:dyDescent="0.25">
      <c r="E457" t="str">
        <v/>
      </c>
      <c r="F457" t="str">
        <v/>
      </c>
      <c r="I457" t="str">
        <v/>
      </c>
      <c r="J457" t="str">
        <v/>
      </c>
      <c r="K457" t="str">
        <v/>
      </c>
      <c r="L457" t="str">
        <v/>
      </c>
      <c r="M457" t="str">
        <v/>
      </c>
      <c r="N457" t="str">
        <v/>
      </c>
    </row>
    <row r="458" spans="5:14" x14ac:dyDescent="0.25">
      <c r="E458" t="str">
        <v/>
      </c>
      <c r="F458" t="str">
        <v/>
      </c>
      <c r="I458" t="str">
        <v/>
      </c>
      <c r="J458" t="str">
        <v/>
      </c>
      <c r="K458" t="str">
        <v/>
      </c>
      <c r="L458" t="str">
        <v/>
      </c>
      <c r="M458" t="str">
        <v/>
      </c>
      <c r="N458" t="str">
        <v/>
      </c>
    </row>
    <row r="459" spans="5:14" x14ac:dyDescent="0.25">
      <c r="E459" t="str">
        <v/>
      </c>
      <c r="F459" t="str">
        <v/>
      </c>
      <c r="I459" t="str">
        <v/>
      </c>
      <c r="J459" t="str">
        <v/>
      </c>
      <c r="K459" t="str">
        <v/>
      </c>
      <c r="L459" t="str">
        <v/>
      </c>
      <c r="M459" t="str">
        <v/>
      </c>
      <c r="N459" t="str">
        <v/>
      </c>
    </row>
    <row r="460" spans="5:14" x14ac:dyDescent="0.25">
      <c r="E460" t="str">
        <v/>
      </c>
      <c r="F460" t="str">
        <v/>
      </c>
      <c r="I460" t="str">
        <v/>
      </c>
      <c r="J460" t="str">
        <v/>
      </c>
      <c r="K460" t="str">
        <v/>
      </c>
      <c r="L460" t="str">
        <v/>
      </c>
      <c r="M460" t="str">
        <v/>
      </c>
      <c r="N460" t="str">
        <v/>
      </c>
    </row>
    <row r="461" spans="5:14" x14ac:dyDescent="0.25">
      <c r="E461" t="str">
        <v/>
      </c>
      <c r="F461" t="str">
        <v/>
      </c>
      <c r="I461" t="str">
        <v/>
      </c>
      <c r="J461" t="str">
        <v/>
      </c>
      <c r="K461" t="str">
        <v/>
      </c>
      <c r="L461" t="str">
        <v/>
      </c>
      <c r="M461" t="str">
        <v/>
      </c>
      <c r="N461" t="str">
        <v/>
      </c>
    </row>
    <row r="462" spans="5:14" x14ac:dyDescent="0.25">
      <c r="E462" t="str">
        <v/>
      </c>
      <c r="F462" t="str">
        <v/>
      </c>
      <c r="I462" t="str">
        <v/>
      </c>
      <c r="J462" t="str">
        <v/>
      </c>
      <c r="K462" t="str">
        <v/>
      </c>
      <c r="L462" t="str">
        <v/>
      </c>
      <c r="M462" t="str">
        <v/>
      </c>
      <c r="N462" t="str">
        <v/>
      </c>
    </row>
    <row r="463" spans="5:14" x14ac:dyDescent="0.25">
      <c r="E463" t="str">
        <v/>
      </c>
      <c r="F463" t="str">
        <v/>
      </c>
      <c r="I463" t="str">
        <v/>
      </c>
      <c r="J463" t="str">
        <v/>
      </c>
      <c r="K463" t="str">
        <v/>
      </c>
      <c r="L463" t="str">
        <v/>
      </c>
      <c r="M463" t="str">
        <v/>
      </c>
      <c r="N463" t="str">
        <v/>
      </c>
    </row>
    <row r="464" spans="5:14" x14ac:dyDescent="0.25">
      <c r="E464" t="str">
        <v/>
      </c>
      <c r="F464" t="str">
        <v/>
      </c>
      <c r="I464" t="str">
        <v/>
      </c>
      <c r="J464" t="str">
        <v/>
      </c>
      <c r="K464" t="str">
        <v/>
      </c>
      <c r="L464" t="str">
        <v/>
      </c>
      <c r="M464" t="str">
        <v/>
      </c>
      <c r="N464" t="str">
        <v/>
      </c>
    </row>
    <row r="465" spans="5:14" x14ac:dyDescent="0.25">
      <c r="E465" t="str">
        <v/>
      </c>
      <c r="F465" t="str">
        <v/>
      </c>
      <c r="I465" t="str">
        <v/>
      </c>
      <c r="J465" t="str">
        <v/>
      </c>
      <c r="K465" t="str">
        <v/>
      </c>
      <c r="L465" t="str">
        <v/>
      </c>
      <c r="M465" t="str">
        <v/>
      </c>
      <c r="N465" t="str">
        <v/>
      </c>
    </row>
    <row r="466" spans="5:14" x14ac:dyDescent="0.25">
      <c r="E466" t="str">
        <v/>
      </c>
      <c r="F466" t="str">
        <v/>
      </c>
      <c r="I466" t="str">
        <v/>
      </c>
      <c r="J466" t="str">
        <v/>
      </c>
      <c r="K466" t="str">
        <v/>
      </c>
      <c r="L466" t="str">
        <v/>
      </c>
      <c r="M466" t="str">
        <v/>
      </c>
      <c r="N466" t="str">
        <v/>
      </c>
    </row>
    <row r="467" spans="5:14" x14ac:dyDescent="0.25">
      <c r="E467" t="str">
        <v/>
      </c>
      <c r="F467" t="str">
        <v/>
      </c>
      <c r="I467" t="str">
        <v/>
      </c>
      <c r="J467" t="str">
        <v/>
      </c>
      <c r="K467" t="str">
        <v/>
      </c>
      <c r="L467" t="str">
        <v/>
      </c>
      <c r="M467" t="str">
        <v/>
      </c>
      <c r="N467" t="str">
        <v/>
      </c>
    </row>
    <row r="468" spans="5:14" x14ac:dyDescent="0.25">
      <c r="E468" t="str">
        <v/>
      </c>
      <c r="F468" t="str">
        <v/>
      </c>
      <c r="I468" t="str">
        <v/>
      </c>
      <c r="J468" t="str">
        <v/>
      </c>
      <c r="K468" t="str">
        <v/>
      </c>
      <c r="L468" t="str">
        <v/>
      </c>
      <c r="M468" t="str">
        <v/>
      </c>
      <c r="N468" t="str">
        <v/>
      </c>
    </row>
    <row r="469" spans="5:14" x14ac:dyDescent="0.25">
      <c r="E469" t="str">
        <v/>
      </c>
      <c r="F469" t="str">
        <v/>
      </c>
      <c r="I469" t="str">
        <v/>
      </c>
      <c r="J469" t="str">
        <v/>
      </c>
      <c r="K469" t="str">
        <v/>
      </c>
      <c r="L469" t="str">
        <v/>
      </c>
      <c r="M469" t="str">
        <v/>
      </c>
      <c r="N469" t="str">
        <v/>
      </c>
    </row>
    <row r="470" spans="5:14" x14ac:dyDescent="0.25">
      <c r="E470" t="str">
        <v/>
      </c>
      <c r="F470" t="str">
        <v/>
      </c>
      <c r="I470" t="str">
        <v/>
      </c>
      <c r="J470" t="str">
        <v/>
      </c>
      <c r="K470" t="str">
        <v/>
      </c>
      <c r="L470" t="str">
        <v/>
      </c>
      <c r="M470" t="str">
        <v/>
      </c>
      <c r="N470" t="str">
        <v/>
      </c>
    </row>
    <row r="471" spans="5:14" x14ac:dyDescent="0.25">
      <c r="E471" t="str">
        <v/>
      </c>
      <c r="F471" t="str">
        <v/>
      </c>
      <c r="I471" t="str">
        <v/>
      </c>
      <c r="J471" t="str">
        <v/>
      </c>
      <c r="K471" t="str">
        <v/>
      </c>
      <c r="L471" t="str">
        <v/>
      </c>
      <c r="M471" t="str">
        <v/>
      </c>
      <c r="N471" t="str">
        <v/>
      </c>
    </row>
    <row r="472" spans="5:14" x14ac:dyDescent="0.25">
      <c r="E472" t="str">
        <v/>
      </c>
      <c r="F472" t="str">
        <v/>
      </c>
      <c r="I472" t="str">
        <v/>
      </c>
      <c r="J472" t="str">
        <v/>
      </c>
      <c r="K472" t="str">
        <v/>
      </c>
      <c r="L472" t="str">
        <v/>
      </c>
      <c r="M472" t="str">
        <v/>
      </c>
      <c r="N472" t="str">
        <v/>
      </c>
    </row>
    <row r="473" spans="5:14" x14ac:dyDescent="0.25">
      <c r="E473" t="str">
        <v/>
      </c>
      <c r="F473" t="str">
        <v/>
      </c>
      <c r="I473" t="str">
        <v/>
      </c>
      <c r="J473" t="str">
        <v/>
      </c>
      <c r="K473" t="str">
        <v/>
      </c>
      <c r="L473" t="str">
        <v/>
      </c>
      <c r="M473" t="str">
        <v/>
      </c>
      <c r="N473" t="str">
        <v/>
      </c>
    </row>
    <row r="474" spans="5:14" x14ac:dyDescent="0.25">
      <c r="E474" t="str">
        <v/>
      </c>
      <c r="F474" t="str">
        <v/>
      </c>
      <c r="I474" t="str">
        <v/>
      </c>
      <c r="J474" t="str">
        <v/>
      </c>
      <c r="K474" t="str">
        <v/>
      </c>
      <c r="L474" t="str">
        <v/>
      </c>
      <c r="M474" t="str">
        <v/>
      </c>
      <c r="N474" t="str">
        <v/>
      </c>
    </row>
    <row r="475" spans="5:14" x14ac:dyDescent="0.25">
      <c r="E475" t="str">
        <v/>
      </c>
      <c r="F475" t="str">
        <v/>
      </c>
      <c r="I475" t="str">
        <v/>
      </c>
      <c r="J475" t="str">
        <v/>
      </c>
      <c r="K475" t="str">
        <v/>
      </c>
      <c r="L475" t="str">
        <v/>
      </c>
      <c r="M475" t="str">
        <v/>
      </c>
      <c r="N475" t="str">
        <v/>
      </c>
    </row>
    <row r="476" spans="5:14" x14ac:dyDescent="0.25">
      <c r="E476" t="str">
        <v/>
      </c>
      <c r="F476" t="str">
        <v/>
      </c>
      <c r="I476" t="str">
        <v/>
      </c>
      <c r="J476" t="str">
        <v/>
      </c>
      <c r="K476" t="str">
        <v/>
      </c>
      <c r="L476" t="str">
        <v/>
      </c>
      <c r="M476" t="str">
        <v/>
      </c>
      <c r="N476" t="str">
        <v/>
      </c>
    </row>
    <row r="477" spans="5:14" x14ac:dyDescent="0.25">
      <c r="E477" t="str">
        <v/>
      </c>
      <c r="F477" t="str">
        <v/>
      </c>
      <c r="I477" t="str">
        <v/>
      </c>
      <c r="J477" t="str">
        <v/>
      </c>
      <c r="K477" t="str">
        <v/>
      </c>
      <c r="L477" t="str">
        <v/>
      </c>
      <c r="M477" t="str">
        <v/>
      </c>
      <c r="N477" t="str">
        <v/>
      </c>
    </row>
    <row r="478" spans="5:14" x14ac:dyDescent="0.25">
      <c r="E478" t="str">
        <v/>
      </c>
      <c r="F478" t="str">
        <v/>
      </c>
      <c r="I478" t="str">
        <v/>
      </c>
      <c r="J478" t="str">
        <v/>
      </c>
      <c r="K478" t="str">
        <v/>
      </c>
      <c r="L478" t="str">
        <v/>
      </c>
      <c r="M478" t="str">
        <v/>
      </c>
      <c r="N478" t="str">
        <v/>
      </c>
    </row>
    <row r="479" spans="5:14" x14ac:dyDescent="0.25">
      <c r="E479" t="str">
        <v/>
      </c>
      <c r="F479" t="str">
        <v/>
      </c>
      <c r="I479" t="str">
        <v/>
      </c>
      <c r="J479" t="str">
        <v/>
      </c>
      <c r="K479" t="str">
        <v/>
      </c>
      <c r="L479" t="str">
        <v/>
      </c>
      <c r="M479" t="str">
        <v/>
      </c>
      <c r="N479" t="str">
        <v/>
      </c>
    </row>
    <row r="480" spans="5:14" x14ac:dyDescent="0.25">
      <c r="E480" t="str">
        <v/>
      </c>
      <c r="F480" t="str">
        <v/>
      </c>
      <c r="I480" t="str">
        <v/>
      </c>
      <c r="J480" t="str">
        <v/>
      </c>
      <c r="K480" t="str">
        <v/>
      </c>
      <c r="L480" t="str">
        <v/>
      </c>
      <c r="M480" t="str">
        <v/>
      </c>
      <c r="N480" t="str">
        <v/>
      </c>
    </row>
    <row r="481" spans="5:14" x14ac:dyDescent="0.25">
      <c r="E481" t="str">
        <v/>
      </c>
      <c r="F481" t="str">
        <v/>
      </c>
      <c r="I481" t="str">
        <v/>
      </c>
      <c r="J481" t="str">
        <v/>
      </c>
      <c r="K481" t="str">
        <v/>
      </c>
      <c r="L481" t="str">
        <v/>
      </c>
      <c r="M481" t="str">
        <v/>
      </c>
      <c r="N481" t="str">
        <v/>
      </c>
    </row>
    <row r="482" spans="5:14" x14ac:dyDescent="0.25">
      <c r="E482" t="str">
        <v/>
      </c>
      <c r="F482" t="str">
        <v/>
      </c>
      <c r="I482" t="str">
        <v/>
      </c>
      <c r="J482" t="str">
        <v/>
      </c>
      <c r="K482" t="str">
        <v/>
      </c>
      <c r="L482" t="str">
        <v/>
      </c>
      <c r="M482" t="str">
        <v/>
      </c>
      <c r="N482" t="str">
        <v/>
      </c>
    </row>
    <row r="483" spans="5:14" x14ac:dyDescent="0.25">
      <c r="E483" t="str">
        <v/>
      </c>
      <c r="F483" t="str">
        <v/>
      </c>
      <c r="I483" t="str">
        <v/>
      </c>
      <c r="J483" t="str">
        <v/>
      </c>
      <c r="K483" t="str">
        <v/>
      </c>
      <c r="L483" t="str">
        <v/>
      </c>
      <c r="M483" t="str">
        <v/>
      </c>
      <c r="N483" t="str">
        <v/>
      </c>
    </row>
    <row r="484" spans="5:14" x14ac:dyDescent="0.25">
      <c r="E484" t="str">
        <v/>
      </c>
      <c r="F484" t="str">
        <v/>
      </c>
      <c r="I484" t="str">
        <v/>
      </c>
      <c r="J484" t="str">
        <v/>
      </c>
      <c r="K484" t="str">
        <v/>
      </c>
      <c r="L484" t="str">
        <v/>
      </c>
      <c r="M484" t="str">
        <v/>
      </c>
      <c r="N484" t="str">
        <v/>
      </c>
    </row>
    <row r="485" spans="5:14" x14ac:dyDescent="0.25">
      <c r="E485" t="str">
        <v/>
      </c>
      <c r="F485" t="str">
        <v/>
      </c>
      <c r="I485" t="str">
        <v/>
      </c>
      <c r="J485" t="str">
        <v/>
      </c>
      <c r="K485" t="str">
        <v/>
      </c>
      <c r="L485" t="str">
        <v/>
      </c>
      <c r="M485" t="str">
        <v/>
      </c>
      <c r="N485" t="str">
        <v/>
      </c>
    </row>
    <row r="486" spans="5:14" x14ac:dyDescent="0.25">
      <c r="E486" t="str">
        <v/>
      </c>
      <c r="F486" t="str">
        <v/>
      </c>
      <c r="I486" t="str">
        <v/>
      </c>
      <c r="J486" t="str">
        <v/>
      </c>
      <c r="K486" t="str">
        <v/>
      </c>
      <c r="L486" t="str">
        <v/>
      </c>
      <c r="M486" t="str">
        <v/>
      </c>
      <c r="N486" t="str">
        <v/>
      </c>
    </row>
    <row r="487" spans="5:14" x14ac:dyDescent="0.25">
      <c r="E487" t="str">
        <v/>
      </c>
      <c r="F487" t="str">
        <v/>
      </c>
      <c r="I487" t="str">
        <v/>
      </c>
      <c r="J487" t="str">
        <v/>
      </c>
      <c r="K487" t="str">
        <v/>
      </c>
      <c r="L487" t="str">
        <v/>
      </c>
      <c r="M487" t="str">
        <v/>
      </c>
      <c r="N487" t="str">
        <v/>
      </c>
    </row>
    <row r="488" spans="5:14" x14ac:dyDescent="0.25">
      <c r="E488" t="str">
        <v/>
      </c>
      <c r="F488" t="str">
        <v/>
      </c>
      <c r="I488" t="str">
        <v/>
      </c>
      <c r="J488" t="str">
        <v/>
      </c>
      <c r="K488" t="str">
        <v/>
      </c>
      <c r="L488" t="str">
        <v/>
      </c>
      <c r="M488" t="str">
        <v/>
      </c>
      <c r="N488" t="str">
        <v/>
      </c>
    </row>
    <row r="489" spans="5:14" x14ac:dyDescent="0.25">
      <c r="E489" t="str">
        <v/>
      </c>
      <c r="F489" t="str">
        <v/>
      </c>
      <c r="I489" t="str">
        <v/>
      </c>
      <c r="J489" t="str">
        <v/>
      </c>
      <c r="K489" t="str">
        <v/>
      </c>
      <c r="L489" t="str">
        <v/>
      </c>
      <c r="M489" t="str">
        <v/>
      </c>
      <c r="N489" t="str">
        <v/>
      </c>
    </row>
    <row r="490" spans="5:14" x14ac:dyDescent="0.25">
      <c r="E490" t="str">
        <v/>
      </c>
      <c r="F490" t="str">
        <v/>
      </c>
      <c r="I490" t="str">
        <v/>
      </c>
      <c r="J490" t="str">
        <v/>
      </c>
      <c r="K490" t="str">
        <v/>
      </c>
      <c r="L490" t="str">
        <v/>
      </c>
      <c r="M490" t="str">
        <v/>
      </c>
      <c r="N490" t="str">
        <v/>
      </c>
    </row>
    <row r="491" spans="5:14" x14ac:dyDescent="0.25">
      <c r="E491" t="str">
        <v/>
      </c>
      <c r="F491" t="str">
        <v/>
      </c>
      <c r="I491" t="str">
        <v/>
      </c>
      <c r="J491" t="str">
        <v/>
      </c>
      <c r="K491" t="str">
        <v/>
      </c>
      <c r="L491" t="str">
        <v/>
      </c>
      <c r="M491" t="str">
        <v/>
      </c>
      <c r="N491" t="str">
        <v/>
      </c>
    </row>
    <row r="492" spans="5:14" x14ac:dyDescent="0.25">
      <c r="E492" t="str">
        <v/>
      </c>
      <c r="F492" t="str">
        <v/>
      </c>
      <c r="I492" t="str">
        <v/>
      </c>
      <c r="J492" t="str">
        <v/>
      </c>
      <c r="K492" t="str">
        <v/>
      </c>
      <c r="L492" t="str">
        <v/>
      </c>
      <c r="M492" t="str">
        <v/>
      </c>
      <c r="N492" t="str">
        <v/>
      </c>
    </row>
    <row r="493" spans="5:14" x14ac:dyDescent="0.25">
      <c r="E493" t="str">
        <v/>
      </c>
      <c r="F493" t="str">
        <v/>
      </c>
      <c r="I493" t="str">
        <v/>
      </c>
      <c r="J493" t="str">
        <v/>
      </c>
      <c r="K493" t="str">
        <v/>
      </c>
      <c r="L493" t="str">
        <v/>
      </c>
      <c r="M493" t="str">
        <v/>
      </c>
      <c r="N493" t="str">
        <v/>
      </c>
    </row>
    <row r="494" spans="5:14" x14ac:dyDescent="0.25">
      <c r="E494" t="str">
        <v/>
      </c>
      <c r="F494" t="str">
        <v/>
      </c>
      <c r="I494" t="str">
        <v/>
      </c>
      <c r="J494" t="str">
        <v/>
      </c>
      <c r="K494" t="str">
        <v/>
      </c>
      <c r="L494" t="str">
        <v/>
      </c>
      <c r="M494" t="str">
        <v/>
      </c>
      <c r="N494" t="str">
        <v/>
      </c>
    </row>
    <row r="495" spans="5:14" x14ac:dyDescent="0.25">
      <c r="E495" t="str">
        <v/>
      </c>
      <c r="F495" t="str">
        <v/>
      </c>
      <c r="I495" t="str">
        <v/>
      </c>
      <c r="J495" t="str">
        <v/>
      </c>
      <c r="K495" t="str">
        <v/>
      </c>
      <c r="L495" t="str">
        <v/>
      </c>
      <c r="M495" t="str">
        <v/>
      </c>
      <c r="N495" t="str">
        <v/>
      </c>
    </row>
    <row r="496" spans="5:14" x14ac:dyDescent="0.25">
      <c r="E496" t="str">
        <v/>
      </c>
      <c r="F496" t="str">
        <v/>
      </c>
      <c r="I496" t="str">
        <v/>
      </c>
      <c r="J496" t="str">
        <v/>
      </c>
      <c r="K496" t="str">
        <v/>
      </c>
      <c r="L496" t="str">
        <v/>
      </c>
      <c r="M496" t="str">
        <v/>
      </c>
      <c r="N496" t="str">
        <v/>
      </c>
    </row>
    <row r="497" spans="5:14" x14ac:dyDescent="0.25">
      <c r="E497" t="str">
        <v/>
      </c>
      <c r="F497" t="str">
        <v/>
      </c>
      <c r="I497" t="str">
        <v/>
      </c>
      <c r="J497" t="str">
        <v/>
      </c>
      <c r="K497" t="str">
        <v/>
      </c>
      <c r="L497" t="str">
        <v/>
      </c>
      <c r="M497" t="str">
        <v/>
      </c>
      <c r="N497" t="str">
        <v/>
      </c>
    </row>
    <row r="498" spans="5:14" x14ac:dyDescent="0.25">
      <c r="E498" t="str">
        <v/>
      </c>
      <c r="F498" t="str">
        <v/>
      </c>
      <c r="I498" t="str">
        <v/>
      </c>
      <c r="J498" t="str">
        <v/>
      </c>
      <c r="K498" t="str">
        <v/>
      </c>
      <c r="L498" t="str">
        <v/>
      </c>
      <c r="M498" t="str">
        <v/>
      </c>
      <c r="N498" t="str">
        <v/>
      </c>
    </row>
    <row r="499" spans="5:14" x14ac:dyDescent="0.25">
      <c r="E499" t="str">
        <v/>
      </c>
      <c r="F499" t="str">
        <v/>
      </c>
      <c r="I499" t="str">
        <v/>
      </c>
      <c r="J499" t="str">
        <v/>
      </c>
      <c r="K499" t="str">
        <v/>
      </c>
      <c r="L499" t="str">
        <v/>
      </c>
      <c r="M499" t="str">
        <v/>
      </c>
      <c r="N499" t="str">
        <v/>
      </c>
    </row>
    <row r="500" spans="5:14" x14ac:dyDescent="0.25">
      <c r="E500" t="str">
        <v/>
      </c>
      <c r="F500" t="str">
        <v/>
      </c>
      <c r="I500" t="str">
        <v/>
      </c>
      <c r="J500" t="str">
        <v/>
      </c>
      <c r="K500" t="str">
        <v/>
      </c>
      <c r="L500" t="str">
        <v/>
      </c>
      <c r="M500" t="str">
        <v/>
      </c>
      <c r="N500" t="str">
        <v/>
      </c>
    </row>
  </sheetData>
  <dataValidations disablePrompts="1" count="436">
    <dataValidation type="list" allowBlank="1" showErrorMessage="1" errorTitle="Item inválido" error="Primeiro selecione o TIPO, depois escolha o item" sqref="D2" xr:uid="{00000000-0002-0000-0700-000000000000}">
      <formula1>INDIRECT("LISTA_"&amp;$C$2)</formula1>
    </dataValidation>
    <dataValidation type="list" allowBlank="1" showErrorMessage="1" errorTitle="Item inválido" error="Primeiro selecione o TIPO, depois escolha o item" sqref="D3" xr:uid="{00000000-0002-0000-0700-000001000000}">
      <formula1>INDIRECT("LISTA_"&amp;$C$3)</formula1>
    </dataValidation>
    <dataValidation type="list" allowBlank="1" showErrorMessage="1" errorTitle="Item inválido" error="Primeiro selecione o TIPO, depois escolha o item" sqref="D4" xr:uid="{00000000-0002-0000-0700-000002000000}">
      <formula1>INDIRECT("LISTA_"&amp;$C$4)</formula1>
    </dataValidation>
    <dataValidation type="list" allowBlank="1" showErrorMessage="1" errorTitle="Item inválido" error="Primeiro selecione o TIPO, depois escolha o item" sqref="D5" xr:uid="{00000000-0002-0000-0700-000003000000}">
      <formula1>INDIRECT("LISTA_"&amp;$C$5)</formula1>
    </dataValidation>
    <dataValidation type="list" allowBlank="1" showErrorMessage="1" errorTitle="Item inválido" error="Primeiro selecione o TIPO, depois escolha o item" sqref="D6" xr:uid="{00000000-0002-0000-0700-000004000000}">
      <formula1>INDIRECT("LISTA_"&amp;$C$6)</formula1>
    </dataValidation>
    <dataValidation type="list" allowBlank="1" showErrorMessage="1" errorTitle="Item inválido" error="Primeiro selecione o TIPO, depois escolha o item" sqref="D7" xr:uid="{00000000-0002-0000-0700-000005000000}">
      <formula1>INDIRECT("LISTA_"&amp;$C$7)</formula1>
    </dataValidation>
    <dataValidation type="list" allowBlank="1" showErrorMessage="1" errorTitle="Item inválido" error="Primeiro selecione o TIPO, depois escolha o item" sqref="D8" xr:uid="{00000000-0002-0000-0700-000006000000}">
      <formula1>INDIRECT("LISTA_"&amp;$C$8)</formula1>
    </dataValidation>
    <dataValidation type="list" allowBlank="1" showErrorMessage="1" errorTitle="Item inválido" error="Primeiro selecione o TIPO, depois escolha o item" sqref="D9" xr:uid="{00000000-0002-0000-0700-000007000000}">
      <formula1>INDIRECT("LISTA_"&amp;$C$9)</formula1>
    </dataValidation>
    <dataValidation type="list" allowBlank="1" showErrorMessage="1" errorTitle="Item inválido" error="Primeiro selecione o TIPO, depois escolha o item" sqref="D10" xr:uid="{00000000-0002-0000-0700-000008000000}">
      <formula1>INDIRECT("LISTA_"&amp;$C$10)</formula1>
    </dataValidation>
    <dataValidation type="list" allowBlank="1" showErrorMessage="1" errorTitle="Item inválido" error="Primeiro selecione o TIPO, depois escolha o item" sqref="D11" xr:uid="{00000000-0002-0000-0700-000009000000}">
      <formula1>INDIRECT("LISTA_"&amp;$C$11)</formula1>
    </dataValidation>
    <dataValidation type="list" allowBlank="1" showErrorMessage="1" errorTitle="Item inválido" error="Primeiro selecione o TIPO, depois escolha o item" sqref="D12" xr:uid="{00000000-0002-0000-0700-00000A000000}">
      <formula1>INDIRECT("LISTA_"&amp;$C$12)</formula1>
    </dataValidation>
    <dataValidation type="list" allowBlank="1" showErrorMessage="1" errorTitle="Item inválido" error="Primeiro selecione o TIPO, depois escolha o item" sqref="D13" xr:uid="{00000000-0002-0000-0700-00000B000000}">
      <formula1>INDIRECT("LISTA_"&amp;$C$13)</formula1>
    </dataValidation>
    <dataValidation type="list" allowBlank="1" showErrorMessage="1" errorTitle="Item inválido" error="Primeiro selecione o TIPO, depois escolha o item" sqref="D14" xr:uid="{00000000-0002-0000-0700-00000C000000}">
      <formula1>INDIRECT("LISTA_"&amp;$C$14)</formula1>
    </dataValidation>
    <dataValidation type="list" allowBlank="1" showErrorMessage="1" errorTitle="Item inválido" error="Primeiro selecione o TIPO, depois escolha o item" sqref="D15" xr:uid="{00000000-0002-0000-0700-00000D000000}">
      <formula1>INDIRECT("LISTA_"&amp;$C$15)</formula1>
    </dataValidation>
    <dataValidation type="list" allowBlank="1" showErrorMessage="1" errorTitle="Item inválido" error="Primeiro selecione o TIPO, depois escolha o item" sqref="D16" xr:uid="{00000000-0002-0000-0700-00000E000000}">
      <formula1>INDIRECT("LISTA_"&amp;$C$16)</formula1>
    </dataValidation>
    <dataValidation type="list" allowBlank="1" showErrorMessage="1" errorTitle="Item inválido" error="Primeiro selecione o TIPO, depois escolha o item" sqref="D17" xr:uid="{00000000-0002-0000-0700-00000F000000}">
      <formula1>INDIRECT("LISTA_"&amp;$C$17)</formula1>
    </dataValidation>
    <dataValidation type="list" allowBlank="1" showErrorMessage="1" errorTitle="Item inválido" error="Primeiro selecione o TIPO, depois escolha o item" sqref="D18" xr:uid="{00000000-0002-0000-0700-000010000000}">
      <formula1>INDIRECT("LISTA_"&amp;$C$18)</formula1>
    </dataValidation>
    <dataValidation type="list" allowBlank="1" showErrorMessage="1" errorTitle="Item inválido" error="Primeiro selecione o TIPO, depois escolha o item" sqref="D19" xr:uid="{00000000-0002-0000-0700-000011000000}">
      <formula1>INDIRECT("LISTA_"&amp;$C$19)</formula1>
    </dataValidation>
    <dataValidation type="list" allowBlank="1" showErrorMessage="1" errorTitle="Item inválido" error="Primeiro selecione o TIPO, depois escolha o item" sqref="D20" xr:uid="{00000000-0002-0000-0700-000012000000}">
      <formula1>INDIRECT("LISTA_"&amp;$C$20)</formula1>
    </dataValidation>
    <dataValidation type="list" allowBlank="1" showErrorMessage="1" errorTitle="Item inválido" error="Primeiro selecione o TIPO, depois escolha o item" sqref="D21" xr:uid="{00000000-0002-0000-0700-000013000000}">
      <formula1>INDIRECT("LISTA_"&amp;$C$21)</formula1>
    </dataValidation>
    <dataValidation type="list" allowBlank="1" showErrorMessage="1" errorTitle="Item inválido" error="Primeiro selecione o TIPO, depois escolha o item" sqref="D22" xr:uid="{00000000-0002-0000-0700-000014000000}">
      <formula1>INDIRECT("LISTA_"&amp;$C$22)</formula1>
    </dataValidation>
    <dataValidation type="list" allowBlank="1" showErrorMessage="1" errorTitle="Item inválido" error="Primeiro selecione o TIPO, depois escolha o item" sqref="D23" xr:uid="{00000000-0002-0000-0700-000015000000}">
      <formula1>INDIRECT("LISTA_"&amp;$C$23)</formula1>
    </dataValidation>
    <dataValidation type="list" allowBlank="1" showErrorMessage="1" errorTitle="Item inválido" error="Primeiro selecione o TIPO, depois escolha o item" sqref="D24" xr:uid="{00000000-0002-0000-0700-000016000000}">
      <formula1>INDIRECT("LISTA_"&amp;$C$24)</formula1>
    </dataValidation>
    <dataValidation type="list" allowBlank="1" showErrorMessage="1" errorTitle="Item inválido" error="Primeiro selecione o TIPO, depois escolha o item" sqref="D25" xr:uid="{00000000-0002-0000-0700-000017000000}">
      <formula1>INDIRECT("LISTA_"&amp;$C$25)</formula1>
    </dataValidation>
    <dataValidation type="list" allowBlank="1" showErrorMessage="1" errorTitle="Item inválido" error="Primeiro selecione o TIPO, depois escolha o item" sqref="D26" xr:uid="{00000000-0002-0000-0700-000018000000}">
      <formula1>INDIRECT("LISTA_"&amp;$C$26)</formula1>
    </dataValidation>
    <dataValidation type="list" allowBlank="1" showErrorMessage="1" errorTitle="Item inválido" error="Primeiro selecione o TIPO, depois escolha o item" sqref="D27" xr:uid="{00000000-0002-0000-0700-000019000000}">
      <formula1>INDIRECT("LISTA_"&amp;$C$27)</formula1>
    </dataValidation>
    <dataValidation type="list" allowBlank="1" showErrorMessage="1" errorTitle="Item inválido" error="Primeiro selecione o TIPO, depois escolha o item" sqref="D28" xr:uid="{00000000-0002-0000-0700-00001A000000}">
      <formula1>INDIRECT("LISTA_"&amp;$C$28)</formula1>
    </dataValidation>
    <dataValidation type="list" allowBlank="1" showErrorMessage="1" errorTitle="Item inválido" error="Primeiro selecione o TIPO, depois escolha o item" sqref="D29" xr:uid="{00000000-0002-0000-0700-00001B000000}">
      <formula1>INDIRECT("LISTA_"&amp;$C$29)</formula1>
    </dataValidation>
    <dataValidation type="list" allowBlank="1" showErrorMessage="1" errorTitle="Item inválido" error="Primeiro selecione o TIPO, depois escolha o item" sqref="D30" xr:uid="{00000000-0002-0000-0700-00001C000000}">
      <formula1>INDIRECT("LISTA_"&amp;$C$30)</formula1>
    </dataValidation>
    <dataValidation type="list" allowBlank="1" showErrorMessage="1" errorTitle="Item inválido" error="Primeiro selecione o TIPO, depois escolha o item" sqref="D31" xr:uid="{00000000-0002-0000-0700-00001D000000}">
      <formula1>INDIRECT("LISTA_"&amp;$C$31)</formula1>
    </dataValidation>
    <dataValidation type="list" allowBlank="1" showErrorMessage="1" errorTitle="Item inválido" error="Primeiro selecione o TIPO, depois escolha o item" sqref="D32" xr:uid="{00000000-0002-0000-0700-00001E000000}">
      <formula1>INDIRECT("LISTA_"&amp;$C$32)</formula1>
    </dataValidation>
    <dataValidation type="list" allowBlank="1" showErrorMessage="1" errorTitle="Item inválido" error="Primeiro selecione o TIPO, depois escolha o item" sqref="D33" xr:uid="{00000000-0002-0000-0700-00001F000000}">
      <formula1>INDIRECT("LISTA_"&amp;$C$33)</formula1>
    </dataValidation>
    <dataValidation type="list" allowBlank="1" showErrorMessage="1" errorTitle="Item inválido" error="Primeiro selecione o TIPO, depois escolha o item" sqref="D34" xr:uid="{00000000-0002-0000-0700-000020000000}">
      <formula1>INDIRECT("LISTA_"&amp;$C$34)</formula1>
    </dataValidation>
    <dataValidation type="list" allowBlank="1" showErrorMessage="1" errorTitle="Item inválido" error="Primeiro selecione o TIPO, depois escolha o item" sqref="D35" xr:uid="{00000000-0002-0000-0700-000021000000}">
      <formula1>INDIRECT("LISTA_"&amp;$C$35)</formula1>
    </dataValidation>
    <dataValidation type="list" allowBlank="1" showErrorMessage="1" errorTitle="Item inválido" error="Primeiro selecione o TIPO, depois escolha o item" sqref="D36" xr:uid="{00000000-0002-0000-0700-000022000000}">
      <formula1>INDIRECT("LISTA_"&amp;$C$36)</formula1>
    </dataValidation>
    <dataValidation type="list" allowBlank="1" showErrorMessage="1" errorTitle="Item inválido" error="Primeiro selecione o TIPO, depois escolha o item" sqref="D37" xr:uid="{00000000-0002-0000-0700-000023000000}">
      <formula1>INDIRECT("LISTA_"&amp;$C$37)</formula1>
    </dataValidation>
    <dataValidation type="list" allowBlank="1" showErrorMessage="1" errorTitle="Item inválido" error="Primeiro selecione o TIPO, depois escolha o item" sqref="D38" xr:uid="{00000000-0002-0000-0700-000024000000}">
      <formula1>INDIRECT("LISTA_"&amp;$C$38)</formula1>
    </dataValidation>
    <dataValidation type="list" allowBlank="1" showErrorMessage="1" errorTitle="Item inválido" error="Primeiro selecione o TIPO, depois escolha o item" sqref="D39" xr:uid="{00000000-0002-0000-0700-000025000000}">
      <formula1>INDIRECT("LISTA_"&amp;$C$39)</formula1>
    </dataValidation>
    <dataValidation type="list" allowBlank="1" showErrorMessage="1" errorTitle="Item inválido" error="Primeiro selecione o TIPO, depois escolha o item" sqref="D40" xr:uid="{00000000-0002-0000-0700-000026000000}">
      <formula1>INDIRECT("LISTA_"&amp;$C$40)</formula1>
    </dataValidation>
    <dataValidation type="list" allowBlank="1" showErrorMessage="1" errorTitle="Item inválido" error="Primeiro selecione o TIPO, depois escolha o item" sqref="D41" xr:uid="{00000000-0002-0000-0700-000027000000}">
      <formula1>INDIRECT("LISTA_"&amp;$C$41)</formula1>
    </dataValidation>
    <dataValidation type="list" allowBlank="1" showErrorMessage="1" errorTitle="Item inválido" error="Primeiro selecione o TIPO, depois escolha o item" sqref="D42" xr:uid="{00000000-0002-0000-0700-000028000000}">
      <formula1>INDIRECT("LISTA_"&amp;$C$42)</formula1>
    </dataValidation>
    <dataValidation type="list" allowBlank="1" showErrorMessage="1" errorTitle="Item inválido" error="Primeiro selecione o TIPO, depois escolha o item" sqref="D43" xr:uid="{00000000-0002-0000-0700-000029000000}">
      <formula1>INDIRECT("LISTA_"&amp;$C$43)</formula1>
    </dataValidation>
    <dataValidation type="list" allowBlank="1" showErrorMessage="1" errorTitle="Item inválido" error="Primeiro selecione o TIPO, depois escolha o item" sqref="D44" xr:uid="{00000000-0002-0000-0700-00002A000000}">
      <formula1>INDIRECT("LISTA_"&amp;$C$44)</formula1>
    </dataValidation>
    <dataValidation type="list" allowBlank="1" showErrorMessage="1" errorTitle="Item inválido" error="Primeiro selecione o TIPO, depois escolha o item" sqref="D45" xr:uid="{00000000-0002-0000-0700-00002B000000}">
      <formula1>INDIRECT("LISTA_"&amp;$C$45)</formula1>
    </dataValidation>
    <dataValidation type="list" allowBlank="1" showErrorMessage="1" errorTitle="Item inválido" error="Primeiro selecione o TIPO, depois escolha o item" sqref="D46" xr:uid="{00000000-0002-0000-0700-00002C000000}">
      <formula1>INDIRECT("LISTA_"&amp;$C$46)</formula1>
    </dataValidation>
    <dataValidation type="list" allowBlank="1" showErrorMessage="1" errorTitle="Item inválido" error="Primeiro selecione o TIPO, depois escolha o item" sqref="D47" xr:uid="{00000000-0002-0000-0700-00002D000000}">
      <formula1>INDIRECT("LISTA_"&amp;$C$47)</formula1>
    </dataValidation>
    <dataValidation type="list" allowBlank="1" showErrorMessage="1" errorTitle="Item inválido" error="Primeiro selecione o TIPO, depois escolha o item" sqref="D48" xr:uid="{00000000-0002-0000-0700-00002E000000}">
      <formula1>INDIRECT("LISTA_"&amp;$C$48)</formula1>
    </dataValidation>
    <dataValidation type="list" allowBlank="1" showErrorMessage="1" errorTitle="Item inválido" error="Primeiro selecione o TIPO, depois escolha o item" sqref="D49" xr:uid="{00000000-0002-0000-0700-00002F000000}">
      <formula1>INDIRECT("LISTA_"&amp;$C$49)</formula1>
    </dataValidation>
    <dataValidation type="list" allowBlank="1" showErrorMessage="1" errorTitle="Item inválido" error="Primeiro selecione o TIPO, depois escolha o item" sqref="D50" xr:uid="{00000000-0002-0000-0700-000030000000}">
      <formula1>INDIRECT("LISTA_"&amp;$C$50)</formula1>
    </dataValidation>
    <dataValidation type="list" allowBlank="1" showErrorMessage="1" errorTitle="Item inválido" error="Primeiro selecione o TIPO, depois escolha o item" sqref="D51" xr:uid="{00000000-0002-0000-0700-000031000000}">
      <formula1>INDIRECT("LISTA_"&amp;$C$51)</formula1>
    </dataValidation>
    <dataValidation type="list" allowBlank="1" showErrorMessage="1" errorTitle="Item inválido" error="Primeiro selecione o TIPO, depois escolha o item" sqref="D52" xr:uid="{00000000-0002-0000-0700-000032000000}">
      <formula1>INDIRECT("LISTA_"&amp;$C$52)</formula1>
    </dataValidation>
    <dataValidation type="list" allowBlank="1" showErrorMessage="1" errorTitle="Item inválido" error="Primeiro selecione o TIPO, depois escolha o item" sqref="D53" xr:uid="{00000000-0002-0000-0700-000033000000}">
      <formula1>INDIRECT("LISTA_"&amp;$C$53)</formula1>
    </dataValidation>
    <dataValidation type="list" allowBlank="1" showErrorMessage="1" errorTitle="Item inválido" error="Primeiro selecione o TIPO, depois escolha o item" sqref="D54" xr:uid="{00000000-0002-0000-0700-000034000000}">
      <formula1>INDIRECT("LISTA_"&amp;$C$54)</formula1>
    </dataValidation>
    <dataValidation type="list" allowBlank="1" showErrorMessage="1" errorTitle="Item inválido" error="Primeiro selecione o TIPO, depois escolha o item" sqref="D55" xr:uid="{00000000-0002-0000-0700-000035000000}">
      <formula1>INDIRECT("LISTA_"&amp;$C$55)</formula1>
    </dataValidation>
    <dataValidation type="list" allowBlank="1" showErrorMessage="1" errorTitle="Item inválido" error="Primeiro selecione o TIPO, depois escolha o item" sqref="D56" xr:uid="{00000000-0002-0000-0700-000036000000}">
      <formula1>INDIRECT("LISTA_"&amp;$C$56)</formula1>
    </dataValidation>
    <dataValidation type="list" allowBlank="1" showErrorMessage="1" errorTitle="Item inválido" error="Primeiro selecione o TIPO, depois escolha o item" sqref="D57" xr:uid="{00000000-0002-0000-0700-000037000000}">
      <formula1>INDIRECT("LISTA_"&amp;$C$57)</formula1>
    </dataValidation>
    <dataValidation type="list" allowBlank="1" showErrorMessage="1" errorTitle="Item inválido" error="Primeiro selecione o TIPO, depois escolha o item" sqref="D58" xr:uid="{00000000-0002-0000-0700-000038000000}">
      <formula1>INDIRECT("LISTA_"&amp;$C$58)</formula1>
    </dataValidation>
    <dataValidation type="list" allowBlank="1" showErrorMessage="1" errorTitle="Item inválido" error="Primeiro selecione o TIPO, depois escolha o item" sqref="D59" xr:uid="{00000000-0002-0000-0700-000039000000}">
      <formula1>INDIRECT("LISTA_"&amp;$C$59)</formula1>
    </dataValidation>
    <dataValidation type="list" allowBlank="1" showErrorMessage="1" errorTitle="Item inválido" error="Primeiro selecione o TIPO, depois escolha o item" sqref="D60" xr:uid="{00000000-0002-0000-0700-00003A000000}">
      <formula1>INDIRECT("LISTA_"&amp;$C$60)</formula1>
    </dataValidation>
    <dataValidation type="list" allowBlank="1" showErrorMessage="1" errorTitle="Item inválido" error="Primeiro selecione o TIPO, depois escolha o item" sqref="D61" xr:uid="{00000000-0002-0000-0700-00003B000000}">
      <formula1>INDIRECT("LISTA_"&amp;$C$61)</formula1>
    </dataValidation>
    <dataValidation type="list" allowBlank="1" showErrorMessage="1" errorTitle="Item inválido" error="Primeiro selecione o TIPO, depois escolha o item" sqref="D62" xr:uid="{00000000-0002-0000-0700-00003C000000}">
      <formula1>INDIRECT("LISTA_"&amp;$C$62)</formula1>
    </dataValidation>
    <dataValidation type="list" allowBlank="1" showErrorMessage="1" errorTitle="Item inválido" error="Primeiro selecione o TIPO, depois escolha o item" sqref="D63" xr:uid="{00000000-0002-0000-0700-00003D000000}">
      <formula1>INDIRECT("LISTA_"&amp;$C$63)</formula1>
    </dataValidation>
    <dataValidation type="list" allowBlank="1" showErrorMessage="1" errorTitle="Item inválido" error="Primeiro selecione o TIPO, depois escolha o item" sqref="D64" xr:uid="{00000000-0002-0000-0700-00003E000000}">
      <formula1>INDIRECT("LISTA_"&amp;$C$64)</formula1>
    </dataValidation>
    <dataValidation type="list" allowBlank="1" showErrorMessage="1" errorTitle="Item inválido" error="Primeiro selecione o TIPO, depois escolha o item" sqref="D65" xr:uid="{00000000-0002-0000-0700-00003F000000}">
      <formula1>INDIRECT("LISTA_"&amp;$C$65)</formula1>
    </dataValidation>
    <dataValidation type="list" allowBlank="1" showErrorMessage="1" errorTitle="Item inválido" error="Primeiro selecione o TIPO, depois escolha o item" sqref="D66" xr:uid="{00000000-0002-0000-0700-000040000000}">
      <formula1>INDIRECT("LISTA_"&amp;$C$66)</formula1>
    </dataValidation>
    <dataValidation type="list" allowBlank="1" showErrorMessage="1" errorTitle="Item inválido" error="Primeiro selecione o TIPO, depois escolha o item" sqref="D67" xr:uid="{00000000-0002-0000-0700-000041000000}">
      <formula1>INDIRECT("LISTA_"&amp;$C$67)</formula1>
    </dataValidation>
    <dataValidation type="list" allowBlank="1" showErrorMessage="1" errorTitle="Item inválido" error="Primeiro selecione o TIPO, depois escolha o item" sqref="D68" xr:uid="{00000000-0002-0000-0700-000042000000}">
      <formula1>INDIRECT("LISTA_"&amp;$C$68)</formula1>
    </dataValidation>
    <dataValidation type="list" allowBlank="1" showErrorMessage="1" errorTitle="Item inválido" error="Primeiro selecione o TIPO, depois escolha o item" sqref="D69" xr:uid="{00000000-0002-0000-0700-000043000000}">
      <formula1>INDIRECT("LISTA_"&amp;$C$69)</formula1>
    </dataValidation>
    <dataValidation type="list" allowBlank="1" showErrorMessage="1" errorTitle="Item inválido" error="Primeiro selecione o TIPO, depois escolha o item" sqref="D70" xr:uid="{00000000-0002-0000-0700-000044000000}">
      <formula1>INDIRECT("LISTA_"&amp;$C$70)</formula1>
    </dataValidation>
    <dataValidation type="list" allowBlank="1" showErrorMessage="1" errorTitle="Item inválido" error="Primeiro selecione o TIPO, depois escolha o item" sqref="D71" xr:uid="{00000000-0002-0000-0700-000045000000}">
      <formula1>INDIRECT("LISTA_"&amp;$C$71)</formula1>
    </dataValidation>
    <dataValidation type="list" allowBlank="1" showErrorMessage="1" errorTitle="Item inválido" error="Primeiro selecione o TIPO, depois escolha o item" sqref="D72" xr:uid="{00000000-0002-0000-0700-000046000000}">
      <formula1>INDIRECT("LISTA_"&amp;$C$72)</formula1>
    </dataValidation>
    <dataValidation type="list" allowBlank="1" showErrorMessage="1" errorTitle="Item inválido" error="Primeiro selecione o TIPO, depois escolha o item" sqref="D73" xr:uid="{00000000-0002-0000-0700-000047000000}">
      <formula1>INDIRECT("LISTA_"&amp;$C$73)</formula1>
    </dataValidation>
    <dataValidation type="list" allowBlank="1" showErrorMessage="1" errorTitle="Item inválido" error="Primeiro selecione o TIPO, depois escolha o item" sqref="D74" xr:uid="{00000000-0002-0000-0700-000048000000}">
      <formula1>INDIRECT("LISTA_"&amp;$C$74)</formula1>
    </dataValidation>
    <dataValidation type="list" allowBlank="1" showErrorMessage="1" errorTitle="Item inválido" error="Primeiro selecione o TIPO, depois escolha o item" sqref="D75" xr:uid="{00000000-0002-0000-0700-000049000000}">
      <formula1>INDIRECT("LISTA_"&amp;$C$75)</formula1>
    </dataValidation>
    <dataValidation type="list" allowBlank="1" showErrorMessage="1" errorTitle="Item inválido" error="Primeiro selecione o TIPO, depois escolha o item" sqref="D76" xr:uid="{00000000-0002-0000-0700-00004A000000}">
      <formula1>INDIRECT("LISTA_"&amp;$C$76)</formula1>
    </dataValidation>
    <dataValidation type="list" allowBlank="1" showErrorMessage="1" errorTitle="Item inválido" error="Primeiro selecione o TIPO, depois escolha o item" sqref="D77" xr:uid="{00000000-0002-0000-0700-00004B000000}">
      <formula1>INDIRECT("LISTA_"&amp;$C$77)</formula1>
    </dataValidation>
    <dataValidation type="list" allowBlank="1" showErrorMessage="1" errorTitle="Item inválido" error="Primeiro selecione o TIPO, depois escolha o item" sqref="D78" xr:uid="{00000000-0002-0000-0700-00004C000000}">
      <formula1>INDIRECT("LISTA_"&amp;$C$78)</formula1>
    </dataValidation>
    <dataValidation type="list" allowBlank="1" showErrorMessage="1" errorTitle="Item inválido" error="Primeiro selecione o TIPO, depois escolha o item" sqref="D79" xr:uid="{00000000-0002-0000-0700-00004D000000}">
      <formula1>INDIRECT("LISTA_"&amp;$C$79)</formula1>
    </dataValidation>
    <dataValidation type="list" allowBlank="1" showErrorMessage="1" errorTitle="Item inválido" error="Primeiro selecione o TIPO, depois escolha o item" sqref="D80" xr:uid="{00000000-0002-0000-0700-00004E000000}">
      <formula1>INDIRECT("LISTA_"&amp;$C$80)</formula1>
    </dataValidation>
    <dataValidation type="list" allowBlank="1" showErrorMessage="1" errorTitle="Item inválido" error="Primeiro selecione o TIPO, depois escolha o item" sqref="D81" xr:uid="{00000000-0002-0000-0700-00004F000000}">
      <formula1>INDIRECT("LISTA_"&amp;$C$81)</formula1>
    </dataValidation>
    <dataValidation type="list" allowBlank="1" showErrorMessage="1" errorTitle="Item inválido" error="Primeiro selecione o TIPO, depois escolha o item" sqref="D82" xr:uid="{00000000-0002-0000-0700-000050000000}">
      <formula1>INDIRECT("LISTA_"&amp;$C$82)</formula1>
    </dataValidation>
    <dataValidation type="list" allowBlank="1" showErrorMessage="1" errorTitle="Item inválido" error="Primeiro selecione o TIPO, depois escolha o item" sqref="D83" xr:uid="{00000000-0002-0000-0700-000051000000}">
      <formula1>INDIRECT("LISTA_"&amp;$C$83)</formula1>
    </dataValidation>
    <dataValidation type="list" allowBlank="1" showErrorMessage="1" errorTitle="Item inválido" error="Primeiro selecione o TIPO, depois escolha o item" sqref="D84" xr:uid="{00000000-0002-0000-0700-000052000000}">
      <formula1>INDIRECT("LISTA_"&amp;$C$84)</formula1>
    </dataValidation>
    <dataValidation type="list" allowBlank="1" showErrorMessage="1" errorTitle="Item inválido" error="Primeiro selecione o TIPO, depois escolha o item" sqref="D85" xr:uid="{00000000-0002-0000-0700-000053000000}">
      <formula1>INDIRECT("LISTA_"&amp;$C$85)</formula1>
    </dataValidation>
    <dataValidation type="list" allowBlank="1" showErrorMessage="1" errorTitle="Item inválido" error="Primeiro selecione o TIPO, depois escolha o item" sqref="D86" xr:uid="{00000000-0002-0000-0700-000054000000}">
      <formula1>INDIRECT("LISTA_"&amp;$C$86)</formula1>
    </dataValidation>
    <dataValidation type="list" allowBlank="1" showErrorMessage="1" errorTitle="Item inválido" error="Primeiro selecione o TIPO, depois escolha o item" sqref="D87" xr:uid="{00000000-0002-0000-0700-000055000000}">
      <formula1>INDIRECT("LISTA_"&amp;$C$87)</formula1>
    </dataValidation>
    <dataValidation type="list" allowBlank="1" showErrorMessage="1" errorTitle="Item inválido" error="Primeiro selecione o TIPO, depois escolha o item" sqref="D88" xr:uid="{00000000-0002-0000-0700-000056000000}">
      <formula1>INDIRECT("LISTA_"&amp;$C$88)</formula1>
    </dataValidation>
    <dataValidation type="list" allowBlank="1" showErrorMessage="1" errorTitle="Item inválido" error="Primeiro selecione o TIPO, depois escolha o item" sqref="D89" xr:uid="{00000000-0002-0000-0700-000057000000}">
      <formula1>INDIRECT("LISTA_"&amp;$C$89)</formula1>
    </dataValidation>
    <dataValidation type="list" allowBlank="1" showErrorMessage="1" errorTitle="Item inválido" error="Primeiro selecione o TIPO, depois escolha o item" sqref="D90" xr:uid="{00000000-0002-0000-0700-000058000000}">
      <formula1>INDIRECT("LISTA_"&amp;$C$90)</formula1>
    </dataValidation>
    <dataValidation type="list" allowBlank="1" showErrorMessage="1" errorTitle="Item inválido" error="Primeiro selecione o TIPO, depois escolha o item" sqref="D91" xr:uid="{00000000-0002-0000-0700-000059000000}">
      <formula1>INDIRECT("LISTA_"&amp;$C$91)</formula1>
    </dataValidation>
    <dataValidation type="list" allowBlank="1" showErrorMessage="1" errorTitle="Item inválido" error="Primeiro selecione o TIPO, depois escolha o item" sqref="D92" xr:uid="{00000000-0002-0000-0700-00005A000000}">
      <formula1>INDIRECT("LISTA_"&amp;$C$92)</formula1>
    </dataValidation>
    <dataValidation type="list" allowBlank="1" showErrorMessage="1" errorTitle="Item inválido" error="Primeiro selecione o TIPO, depois escolha o item" sqref="D93" xr:uid="{00000000-0002-0000-0700-00005B000000}">
      <formula1>INDIRECT("LISTA_"&amp;$C$93)</formula1>
    </dataValidation>
    <dataValidation type="list" allowBlank="1" showErrorMessage="1" errorTitle="Item inválido" error="Primeiro selecione o TIPO, depois escolha o item" sqref="D94" xr:uid="{00000000-0002-0000-0700-00005C000000}">
      <formula1>INDIRECT("LISTA_"&amp;$C$94)</formula1>
    </dataValidation>
    <dataValidation type="list" allowBlank="1" showErrorMessage="1" errorTitle="Item inválido" error="Primeiro selecione o TIPO, depois escolha o item" sqref="D95" xr:uid="{00000000-0002-0000-0700-00005D000000}">
      <formula1>INDIRECT("LISTA_"&amp;$C$95)</formula1>
    </dataValidation>
    <dataValidation type="list" allowBlank="1" showErrorMessage="1" errorTitle="Item inválido" error="Primeiro selecione o TIPO, depois escolha o item" sqref="D96" xr:uid="{00000000-0002-0000-0700-00005E000000}">
      <formula1>INDIRECT("LISTA_"&amp;$C$96)</formula1>
    </dataValidation>
    <dataValidation type="list" allowBlank="1" showErrorMessage="1" errorTitle="Item inválido" error="Primeiro selecione o TIPO, depois escolha o item" sqref="D97" xr:uid="{00000000-0002-0000-0700-00005F000000}">
      <formula1>INDIRECT("LISTA_"&amp;$C$97)</formula1>
    </dataValidation>
    <dataValidation type="list" allowBlank="1" showErrorMessage="1" errorTitle="Item inválido" error="Primeiro selecione o TIPO, depois escolha o item" sqref="D98" xr:uid="{00000000-0002-0000-0700-000060000000}">
      <formula1>INDIRECT("LISTA_"&amp;$C$98)</formula1>
    </dataValidation>
    <dataValidation type="list" allowBlank="1" showErrorMessage="1" errorTitle="Item inválido" error="Primeiro selecione o TIPO, depois escolha o item" sqref="D99" xr:uid="{00000000-0002-0000-0700-000061000000}">
      <formula1>INDIRECT("LISTA_"&amp;$C$99)</formula1>
    </dataValidation>
    <dataValidation type="list" allowBlank="1" showErrorMessage="1" errorTitle="Item inválido" error="Primeiro selecione o TIPO, depois escolha o item" sqref="D100" xr:uid="{00000000-0002-0000-0700-000062000000}">
      <formula1>INDIRECT("LISTA_"&amp;$C$100)</formula1>
    </dataValidation>
    <dataValidation type="list" allowBlank="1" showErrorMessage="1" errorTitle="Item inválido" error="Primeiro selecione o TIPO, depois escolha o item" sqref="D101" xr:uid="{00000000-0002-0000-0700-000063000000}">
      <formula1>INDIRECT("LISTA_"&amp;$C$101)</formula1>
    </dataValidation>
    <dataValidation type="list" allowBlank="1" showErrorMessage="1" errorTitle="Item inválido" error="Primeiro selecione o TIPO, depois escolha o item" sqref="D102" xr:uid="{00000000-0002-0000-0700-000064000000}">
      <formula1>INDIRECT("LISTA_"&amp;$C$102)</formula1>
    </dataValidation>
    <dataValidation type="list" allowBlank="1" showErrorMessage="1" errorTitle="Item inválido" error="Primeiro selecione o TIPO, depois escolha o item" sqref="D103" xr:uid="{00000000-0002-0000-0700-000065000000}">
      <formula1>INDIRECT("LISTA_"&amp;$C$103)</formula1>
    </dataValidation>
    <dataValidation type="list" allowBlank="1" showErrorMessage="1" errorTitle="Item inválido" error="Primeiro selecione o TIPO, depois escolha o item" sqref="D104" xr:uid="{00000000-0002-0000-0700-000066000000}">
      <formula1>INDIRECT("LISTA_"&amp;$C$104)</formula1>
    </dataValidation>
    <dataValidation type="list" allowBlank="1" showErrorMessage="1" errorTitle="Item inválido" error="Primeiro selecione o TIPO, depois escolha o item" sqref="D105" xr:uid="{00000000-0002-0000-0700-000067000000}">
      <formula1>INDIRECT("LISTA_"&amp;$C$105)</formula1>
    </dataValidation>
    <dataValidation type="list" allowBlank="1" showErrorMessage="1" errorTitle="Item inválido" error="Primeiro selecione o TIPO, depois escolha o item" sqref="D106" xr:uid="{00000000-0002-0000-0700-000068000000}">
      <formula1>INDIRECT("LISTA_"&amp;$C$106)</formula1>
    </dataValidation>
    <dataValidation type="list" allowBlank="1" showErrorMessage="1" errorTitle="Item inválido" error="Primeiro selecione o TIPO, depois escolha o item" sqref="D107" xr:uid="{00000000-0002-0000-0700-000069000000}">
      <formula1>INDIRECT("LISTA_"&amp;$C$107)</formula1>
    </dataValidation>
    <dataValidation type="list" allowBlank="1" showErrorMessage="1" errorTitle="Item inválido" error="Primeiro selecione o TIPO, depois escolha o item" sqref="D108" xr:uid="{00000000-0002-0000-0700-00006A000000}">
      <formula1>INDIRECT("LISTA_"&amp;$C$108)</formula1>
    </dataValidation>
    <dataValidation type="list" allowBlank="1" showErrorMessage="1" errorTitle="Item inválido" error="Primeiro selecione o TIPO, depois escolha o item" sqref="D109" xr:uid="{00000000-0002-0000-0700-00006B000000}">
      <formula1>INDIRECT("LISTA_"&amp;$C$109)</formula1>
    </dataValidation>
    <dataValidation type="list" allowBlank="1" showErrorMessage="1" errorTitle="Item inválido" error="Primeiro selecione o TIPO, depois escolha o item" sqref="D110" xr:uid="{00000000-0002-0000-0700-00006C000000}">
      <formula1>INDIRECT("LISTA_"&amp;$C$110)</formula1>
    </dataValidation>
    <dataValidation type="list" allowBlank="1" showErrorMessage="1" errorTitle="Item inválido" error="Primeiro selecione o TIPO, depois escolha o item" sqref="D111" xr:uid="{00000000-0002-0000-0700-00006D000000}">
      <formula1>INDIRECT("LISTA_"&amp;$C$111)</formula1>
    </dataValidation>
    <dataValidation type="list" allowBlank="1" showErrorMessage="1" errorTitle="Item inválido" error="Primeiro selecione o TIPO, depois escolha o item" sqref="D112" xr:uid="{00000000-0002-0000-0700-00006E000000}">
      <formula1>INDIRECT("LISTA_"&amp;$C$112)</formula1>
    </dataValidation>
    <dataValidation type="list" allowBlank="1" showErrorMessage="1" errorTitle="Item inválido" error="Primeiro selecione o TIPO, depois escolha o item" sqref="D113" xr:uid="{00000000-0002-0000-0700-00006F000000}">
      <formula1>INDIRECT("LISTA_"&amp;$C$113)</formula1>
    </dataValidation>
    <dataValidation type="list" allowBlank="1" showErrorMessage="1" errorTitle="Item inválido" error="Primeiro selecione o TIPO, depois escolha o item" sqref="D114" xr:uid="{00000000-0002-0000-0700-000070000000}">
      <formula1>INDIRECT("LISTA_"&amp;$C$114)</formula1>
    </dataValidation>
    <dataValidation type="list" allowBlank="1" showErrorMessage="1" errorTitle="Item inválido" error="Primeiro selecione o TIPO, depois escolha o item" sqref="D115" xr:uid="{00000000-0002-0000-0700-000071000000}">
      <formula1>INDIRECT("LISTA_"&amp;$C$115)</formula1>
    </dataValidation>
    <dataValidation type="list" allowBlank="1" showErrorMessage="1" errorTitle="Item inválido" error="Primeiro selecione o TIPO, depois escolha o item" sqref="D116" xr:uid="{00000000-0002-0000-0700-000072000000}">
      <formula1>INDIRECT("LISTA_"&amp;$C$116)</formula1>
    </dataValidation>
    <dataValidation type="list" allowBlank="1" showErrorMessage="1" errorTitle="Item inválido" error="Primeiro selecione o TIPO, depois escolha o item" sqref="D117" xr:uid="{00000000-0002-0000-0700-000073000000}">
      <formula1>INDIRECT("LISTA_"&amp;$C$117)</formula1>
    </dataValidation>
    <dataValidation type="list" allowBlank="1" showErrorMessage="1" errorTitle="Item inválido" error="Primeiro selecione o TIPO, depois escolha o item" sqref="D118" xr:uid="{00000000-0002-0000-0700-000074000000}">
      <formula1>INDIRECT("LISTA_"&amp;$C$118)</formula1>
    </dataValidation>
    <dataValidation type="list" allowBlank="1" showErrorMessage="1" errorTitle="Item inválido" error="Primeiro selecione o TIPO, depois escolha o item" sqref="D119" xr:uid="{00000000-0002-0000-0700-000075000000}">
      <formula1>INDIRECT("LISTA_"&amp;$C$119)</formula1>
    </dataValidation>
    <dataValidation type="list" allowBlank="1" showErrorMessage="1" errorTitle="Item inválido" error="Primeiro selecione o TIPO, depois escolha o item" sqref="D120" xr:uid="{00000000-0002-0000-0700-000076000000}">
      <formula1>INDIRECT("LISTA_"&amp;$C$120)</formula1>
    </dataValidation>
    <dataValidation type="list" allowBlank="1" showErrorMessage="1" errorTitle="Item inválido" error="Primeiro selecione o TIPO, depois escolha o item" sqref="D121" xr:uid="{00000000-0002-0000-0700-000077000000}">
      <formula1>INDIRECT("LISTA_"&amp;$C$121)</formula1>
    </dataValidation>
    <dataValidation type="list" allowBlank="1" showErrorMessage="1" errorTitle="Item inválido" error="Primeiro selecione o TIPO, depois escolha o item" sqref="D122" xr:uid="{00000000-0002-0000-0700-000078000000}">
      <formula1>INDIRECT("LISTA_"&amp;$C$122)</formula1>
    </dataValidation>
    <dataValidation type="list" allowBlank="1" showErrorMessage="1" errorTitle="Item inválido" error="Primeiro selecione o TIPO, depois escolha o item" sqref="D123" xr:uid="{00000000-0002-0000-0700-000079000000}">
      <formula1>INDIRECT("LISTA_"&amp;$C$123)</formula1>
    </dataValidation>
    <dataValidation type="list" allowBlank="1" showErrorMessage="1" errorTitle="Item inválido" error="Primeiro selecione o TIPO, depois escolha o item" sqref="D124" xr:uid="{00000000-0002-0000-0700-00007A000000}">
      <formula1>INDIRECT("LISTA_"&amp;$C$124)</formula1>
    </dataValidation>
    <dataValidation type="list" allowBlank="1" showErrorMessage="1" errorTitle="Item inválido" error="Primeiro selecione o TIPO, depois escolha o item" sqref="D125" xr:uid="{00000000-0002-0000-0700-00007B000000}">
      <formula1>INDIRECT("LISTA_"&amp;$C$125)</formula1>
    </dataValidation>
    <dataValidation type="list" allowBlank="1" showErrorMessage="1" errorTitle="Item inválido" error="Primeiro selecione o TIPO, depois escolha o item" sqref="D126" xr:uid="{00000000-0002-0000-0700-00007C000000}">
      <formula1>INDIRECT("LISTA_"&amp;$C$126)</formula1>
    </dataValidation>
    <dataValidation type="list" allowBlank="1" showErrorMessage="1" errorTitle="Item inválido" error="Primeiro selecione o TIPO, depois escolha o item" sqref="D127" xr:uid="{00000000-0002-0000-0700-00007D000000}">
      <formula1>INDIRECT("LISTA_"&amp;$C$127)</formula1>
    </dataValidation>
    <dataValidation type="list" allowBlank="1" showErrorMessage="1" errorTitle="Item inválido" error="Primeiro selecione o TIPO, depois escolha o item" sqref="D128" xr:uid="{00000000-0002-0000-0700-00007E000000}">
      <formula1>INDIRECT("LISTA_"&amp;$C$128)</formula1>
    </dataValidation>
    <dataValidation type="list" allowBlank="1" showErrorMessage="1" errorTitle="Item inválido" error="Primeiro selecione o TIPO, depois escolha o item" sqref="D129" xr:uid="{00000000-0002-0000-0700-00007F000000}">
      <formula1>INDIRECT("LISTA_"&amp;$C$129)</formula1>
    </dataValidation>
    <dataValidation type="list" allowBlank="1" showErrorMessage="1" errorTitle="Item inválido" error="Primeiro selecione o TIPO, depois escolha o item" sqref="D130" xr:uid="{00000000-0002-0000-0700-000080000000}">
      <formula1>INDIRECT("LISTA_"&amp;$C$130)</formula1>
    </dataValidation>
    <dataValidation type="list" allowBlank="1" showErrorMessage="1" errorTitle="Item inválido" error="Primeiro selecione o TIPO, depois escolha o item" sqref="D131" xr:uid="{00000000-0002-0000-0700-000081000000}">
      <formula1>INDIRECT("LISTA_"&amp;$C$131)</formula1>
    </dataValidation>
    <dataValidation type="list" allowBlank="1" showErrorMessage="1" errorTitle="Item inválido" error="Primeiro selecione o TIPO, depois escolha o item" sqref="D132" xr:uid="{00000000-0002-0000-0700-000082000000}">
      <formula1>INDIRECT("LISTA_"&amp;$C$132)</formula1>
    </dataValidation>
    <dataValidation type="list" allowBlank="1" showErrorMessage="1" errorTitle="Item inválido" error="Primeiro selecione o TIPO, depois escolha o item" sqref="D133" xr:uid="{00000000-0002-0000-0700-000083000000}">
      <formula1>INDIRECT("LISTA_"&amp;$C$133)</formula1>
    </dataValidation>
    <dataValidation type="list" allowBlank="1" showErrorMessage="1" errorTitle="Item inválido" error="Primeiro selecione o TIPO, depois escolha o item" sqref="D134" xr:uid="{00000000-0002-0000-0700-000084000000}">
      <formula1>INDIRECT("LISTA_"&amp;$C$134)</formula1>
    </dataValidation>
    <dataValidation type="list" allowBlank="1" showErrorMessage="1" errorTitle="Item inválido" error="Primeiro selecione o TIPO, depois escolha o item" sqref="D135" xr:uid="{00000000-0002-0000-0700-000085000000}">
      <formula1>INDIRECT("LISTA_"&amp;$C$135)</formula1>
    </dataValidation>
    <dataValidation type="list" allowBlank="1" showErrorMessage="1" errorTitle="Item inválido" error="Primeiro selecione o TIPO, depois escolha o item" sqref="D136" xr:uid="{00000000-0002-0000-0700-000086000000}">
      <formula1>INDIRECT("LISTA_"&amp;$C$136)</formula1>
    </dataValidation>
    <dataValidation type="list" allowBlank="1" showErrorMessage="1" errorTitle="Item inválido" error="Primeiro selecione o TIPO, depois escolha o item" sqref="D137" xr:uid="{00000000-0002-0000-0700-000087000000}">
      <formula1>INDIRECT("LISTA_"&amp;$C$137)</formula1>
    </dataValidation>
    <dataValidation type="list" allowBlank="1" showErrorMessage="1" errorTitle="Item inválido" error="Primeiro selecione o TIPO, depois escolha o item" sqref="D138" xr:uid="{00000000-0002-0000-0700-000088000000}">
      <formula1>INDIRECT("LISTA_"&amp;$C$138)</formula1>
    </dataValidation>
    <dataValidation type="list" allowBlank="1" showErrorMessage="1" errorTitle="Item inválido" error="Primeiro selecione o TIPO, depois escolha o item" sqref="D139" xr:uid="{00000000-0002-0000-0700-000089000000}">
      <formula1>INDIRECT("LISTA_"&amp;$C$139)</formula1>
    </dataValidation>
    <dataValidation type="list" allowBlank="1" showErrorMessage="1" errorTitle="Item inválido" error="Primeiro selecione o TIPO, depois escolha o item" sqref="D140" xr:uid="{00000000-0002-0000-0700-00008A000000}">
      <formula1>INDIRECT("LISTA_"&amp;$C$140)</formula1>
    </dataValidation>
    <dataValidation type="list" allowBlank="1" showErrorMessage="1" errorTitle="Item inválido" error="Primeiro selecione o TIPO, depois escolha o item" sqref="D141" xr:uid="{00000000-0002-0000-0700-00008B000000}">
      <formula1>INDIRECT("LISTA_"&amp;$C$141)</formula1>
    </dataValidation>
    <dataValidation type="list" allowBlank="1" showErrorMessage="1" errorTitle="Item inválido" error="Primeiro selecione o TIPO, depois escolha o item" sqref="D142" xr:uid="{00000000-0002-0000-0700-00008C000000}">
      <formula1>INDIRECT("LISTA_"&amp;$C$142)</formula1>
    </dataValidation>
    <dataValidation type="list" allowBlank="1" showErrorMessage="1" errorTitle="Item inválido" error="Primeiro selecione o TIPO, depois escolha o item" sqref="D143" xr:uid="{00000000-0002-0000-0700-00008D000000}">
      <formula1>INDIRECT("LISTA_"&amp;$C$143)</formula1>
    </dataValidation>
    <dataValidation type="list" allowBlank="1" showErrorMessage="1" errorTitle="Item inválido" error="Primeiro selecione o TIPO, depois escolha o item" sqref="D144" xr:uid="{00000000-0002-0000-0700-00008E000000}">
      <formula1>INDIRECT("LISTA_"&amp;$C$144)</formula1>
    </dataValidation>
    <dataValidation type="list" allowBlank="1" showErrorMessage="1" errorTitle="Item inválido" error="Primeiro selecione o TIPO, depois escolha o item" sqref="D145" xr:uid="{00000000-0002-0000-0700-00008F000000}">
      <formula1>INDIRECT("LISTA_"&amp;$C$145)</formula1>
    </dataValidation>
    <dataValidation type="list" allowBlank="1" showErrorMessage="1" errorTitle="Item inválido" error="Primeiro selecione o TIPO, depois escolha o item" sqref="D146" xr:uid="{00000000-0002-0000-0700-000090000000}">
      <formula1>INDIRECT("LISTA_"&amp;$C$146)</formula1>
    </dataValidation>
    <dataValidation type="list" allowBlank="1" showErrorMessage="1" errorTitle="Item inválido" error="Primeiro selecione o TIPO, depois escolha o item" sqref="D147" xr:uid="{00000000-0002-0000-0700-000091000000}">
      <formula1>INDIRECT("LISTA_"&amp;$C$147)</formula1>
    </dataValidation>
    <dataValidation type="list" allowBlank="1" showErrorMessage="1" errorTitle="Item inválido" error="Primeiro selecione o TIPO, depois escolha o item" sqref="D148" xr:uid="{00000000-0002-0000-0700-000092000000}">
      <formula1>INDIRECT("LISTA_"&amp;$C$148)</formula1>
    </dataValidation>
    <dataValidation type="list" allowBlank="1" showErrorMessage="1" errorTitle="Item inválido" error="Primeiro selecione o TIPO, depois escolha o item" sqref="D149" xr:uid="{00000000-0002-0000-0700-000093000000}">
      <formula1>INDIRECT("LISTA_"&amp;$C$149)</formula1>
    </dataValidation>
    <dataValidation type="list" allowBlank="1" showErrorMessage="1" errorTitle="Item inválido" error="Primeiro selecione o TIPO, depois escolha o item" sqref="D150" xr:uid="{00000000-0002-0000-0700-000094000000}">
      <formula1>INDIRECT("LISTA_"&amp;$C$150)</formula1>
    </dataValidation>
    <dataValidation type="list" allowBlank="1" showErrorMessage="1" errorTitle="Item inválido" error="Primeiro selecione o TIPO, depois escolha o item" sqref="D151" xr:uid="{00000000-0002-0000-0700-000095000000}">
      <formula1>INDIRECT("LISTA_"&amp;$C$151)</formula1>
    </dataValidation>
    <dataValidation type="list" allowBlank="1" showErrorMessage="1" errorTitle="Item inválido" error="Primeiro selecione o TIPO, depois escolha o item" sqref="D152" xr:uid="{00000000-0002-0000-0700-000096000000}">
      <formula1>INDIRECT("LISTA_"&amp;$C$152)</formula1>
    </dataValidation>
    <dataValidation type="list" allowBlank="1" showErrorMessage="1" errorTitle="Item inválido" error="Primeiro selecione o TIPO, depois escolha o item" sqref="D153" xr:uid="{00000000-0002-0000-0700-000097000000}">
      <formula1>INDIRECT("LISTA_"&amp;$C$153)</formula1>
    </dataValidation>
    <dataValidation type="list" allowBlank="1" showErrorMessage="1" errorTitle="Item inválido" error="Primeiro selecione o TIPO, depois escolha o item" sqref="D154" xr:uid="{00000000-0002-0000-0700-000098000000}">
      <formula1>INDIRECT("LISTA_"&amp;$C$154)</formula1>
    </dataValidation>
    <dataValidation type="list" allowBlank="1" showErrorMessage="1" errorTitle="Item inválido" error="Primeiro selecione o TIPO, depois escolha o item" sqref="D155" xr:uid="{00000000-0002-0000-0700-000099000000}">
      <formula1>INDIRECT("LISTA_"&amp;$C$155)</formula1>
    </dataValidation>
    <dataValidation type="list" allowBlank="1" showErrorMessage="1" errorTitle="Item inválido" error="Primeiro selecione o TIPO, depois escolha o item" sqref="D156" xr:uid="{00000000-0002-0000-0700-00009A000000}">
      <formula1>INDIRECT("LISTA_"&amp;$C$156)</formula1>
    </dataValidation>
    <dataValidation type="list" allowBlank="1" showErrorMessage="1" errorTitle="Item inválido" error="Primeiro selecione o TIPO, depois escolha o item" sqref="D157" xr:uid="{00000000-0002-0000-0700-00009B000000}">
      <formula1>INDIRECT("LISTA_"&amp;$C$157)</formula1>
    </dataValidation>
    <dataValidation type="list" allowBlank="1" showErrorMessage="1" errorTitle="Item inválido" error="Primeiro selecione o TIPO, depois escolha o item" sqref="D158" xr:uid="{00000000-0002-0000-0700-00009C000000}">
      <formula1>INDIRECT("LISTA_"&amp;$C$158)</formula1>
    </dataValidation>
    <dataValidation type="list" allowBlank="1" showErrorMessage="1" errorTitle="Item inválido" error="Primeiro selecione o TIPO, depois escolha o item" sqref="D159" xr:uid="{00000000-0002-0000-0700-00009D000000}">
      <formula1>INDIRECT("LISTA_"&amp;$C$159)</formula1>
    </dataValidation>
    <dataValidation type="list" allowBlank="1" showErrorMessage="1" errorTitle="Item inválido" error="Primeiro selecione o TIPO, depois escolha o item" sqref="D160" xr:uid="{00000000-0002-0000-0700-00009E000000}">
      <formula1>INDIRECT("LISTA_"&amp;$C$160)</formula1>
    </dataValidation>
    <dataValidation type="list" allowBlank="1" showErrorMessage="1" errorTitle="Item inválido" error="Primeiro selecione o TIPO, depois escolha o item" sqref="D161" xr:uid="{00000000-0002-0000-0700-00009F000000}">
      <formula1>INDIRECT("LISTA_"&amp;$C$161)</formula1>
    </dataValidation>
    <dataValidation type="list" allowBlank="1" showErrorMessage="1" errorTitle="Item inválido" error="Primeiro selecione o TIPO, depois escolha o item" sqref="D162" xr:uid="{00000000-0002-0000-0700-0000A0000000}">
      <formula1>INDIRECT("LISTA_"&amp;$C$162)</formula1>
    </dataValidation>
    <dataValidation type="list" allowBlank="1" showErrorMessage="1" errorTitle="Item inválido" error="Primeiro selecione o TIPO, depois escolha o item" sqref="D163" xr:uid="{00000000-0002-0000-0700-0000A1000000}">
      <formula1>INDIRECT("LISTA_"&amp;$C$163)</formula1>
    </dataValidation>
    <dataValidation type="list" allowBlank="1" showErrorMessage="1" errorTitle="Item inválido" error="Primeiro selecione o TIPO, depois escolha o item" sqref="D164" xr:uid="{00000000-0002-0000-0700-0000A2000000}">
      <formula1>INDIRECT("LISTA_"&amp;$C$164)</formula1>
    </dataValidation>
    <dataValidation type="list" allowBlank="1" showErrorMessage="1" errorTitle="Item inválido" error="Primeiro selecione o TIPO, depois escolha o item" sqref="D165" xr:uid="{00000000-0002-0000-0700-0000A3000000}">
      <formula1>INDIRECT("LISTA_"&amp;$C$165)</formula1>
    </dataValidation>
    <dataValidation type="list" allowBlank="1" showErrorMessage="1" errorTitle="Item inválido" error="Primeiro selecione o TIPO, depois escolha o item" sqref="D166" xr:uid="{00000000-0002-0000-0700-0000A4000000}">
      <formula1>INDIRECT("LISTA_"&amp;$C$166)</formula1>
    </dataValidation>
    <dataValidation type="list" allowBlank="1" showErrorMessage="1" errorTitle="Item inválido" error="Primeiro selecione o TIPO, depois escolha o item" sqref="D167" xr:uid="{00000000-0002-0000-0700-0000A5000000}">
      <formula1>INDIRECT("LISTA_"&amp;$C$167)</formula1>
    </dataValidation>
    <dataValidation type="list" allowBlank="1" showErrorMessage="1" errorTitle="Item inválido" error="Primeiro selecione o TIPO, depois escolha o item" sqref="D168" xr:uid="{00000000-0002-0000-0700-0000A6000000}">
      <formula1>INDIRECT("LISTA_"&amp;$C$168)</formula1>
    </dataValidation>
    <dataValidation type="list" allowBlank="1" showErrorMessage="1" errorTitle="Item inválido" error="Primeiro selecione o TIPO, depois escolha o item" sqref="D169" xr:uid="{00000000-0002-0000-0700-0000A7000000}">
      <formula1>INDIRECT("LISTA_"&amp;$C$169)</formula1>
    </dataValidation>
    <dataValidation type="list" allowBlank="1" showErrorMessage="1" errorTitle="Item inválido" error="Primeiro selecione o TIPO, depois escolha o item" sqref="D170" xr:uid="{00000000-0002-0000-0700-0000A8000000}">
      <formula1>INDIRECT("LISTA_"&amp;$C$170)</formula1>
    </dataValidation>
    <dataValidation type="list" allowBlank="1" showErrorMessage="1" errorTitle="Item inválido" error="Primeiro selecione o TIPO, depois escolha o item" sqref="D171" xr:uid="{00000000-0002-0000-0700-0000A9000000}">
      <formula1>INDIRECT("LISTA_"&amp;$C$171)</formula1>
    </dataValidation>
    <dataValidation type="list" allowBlank="1" showErrorMessage="1" errorTitle="Item inválido" error="Primeiro selecione o TIPO, depois escolha o item" sqref="D172" xr:uid="{00000000-0002-0000-0700-0000AA000000}">
      <formula1>INDIRECT("LISTA_"&amp;$C$172)</formula1>
    </dataValidation>
    <dataValidation type="list" allowBlank="1" showErrorMessage="1" errorTitle="Item inválido" error="Primeiro selecione o TIPO, depois escolha o item" sqref="D173" xr:uid="{00000000-0002-0000-0700-0000AB000000}">
      <formula1>INDIRECT("LISTA_"&amp;$C$173)</formula1>
    </dataValidation>
    <dataValidation type="list" allowBlank="1" showErrorMessage="1" errorTitle="Item inválido" error="Primeiro selecione o TIPO, depois escolha o item" sqref="D174" xr:uid="{00000000-0002-0000-0700-0000AC000000}">
      <formula1>INDIRECT("LISTA_"&amp;$C$174)</formula1>
    </dataValidation>
    <dataValidation type="list" allowBlank="1" showErrorMessage="1" errorTitle="Item inválido" error="Primeiro selecione o TIPO, depois escolha o item" sqref="D175" xr:uid="{00000000-0002-0000-0700-0000AD000000}">
      <formula1>INDIRECT("LISTA_"&amp;$C$175)</formula1>
    </dataValidation>
    <dataValidation type="list" allowBlank="1" showErrorMessage="1" errorTitle="Item inválido" error="Primeiro selecione o TIPO, depois escolha o item" sqref="D176" xr:uid="{00000000-0002-0000-0700-0000AE000000}">
      <formula1>INDIRECT("LISTA_"&amp;$C$176)</formula1>
    </dataValidation>
    <dataValidation type="list" allowBlank="1" showErrorMessage="1" errorTitle="Item inválido" error="Primeiro selecione o TIPO, depois escolha o item" sqref="D177" xr:uid="{00000000-0002-0000-0700-0000AF000000}">
      <formula1>INDIRECT("LISTA_"&amp;$C$177)</formula1>
    </dataValidation>
    <dataValidation type="list" allowBlank="1" showErrorMessage="1" errorTitle="Item inválido" error="Primeiro selecione o TIPO, depois escolha o item" sqref="D178" xr:uid="{00000000-0002-0000-0700-0000B0000000}">
      <formula1>INDIRECT("LISTA_"&amp;$C$178)</formula1>
    </dataValidation>
    <dataValidation type="list" allowBlank="1" showErrorMessage="1" errorTitle="Item inválido" error="Primeiro selecione o TIPO, depois escolha o item" sqref="D179" xr:uid="{00000000-0002-0000-0700-0000B1000000}">
      <formula1>INDIRECT("LISTA_"&amp;$C$179)</formula1>
    </dataValidation>
    <dataValidation type="list" allowBlank="1" showErrorMessage="1" errorTitle="Item inválido" error="Primeiro selecione o TIPO, depois escolha o item" sqref="D180" xr:uid="{00000000-0002-0000-0700-0000B2000000}">
      <formula1>INDIRECT("LISTA_"&amp;$C$180)</formula1>
    </dataValidation>
    <dataValidation type="list" allowBlank="1" showErrorMessage="1" errorTitle="Item inválido" error="Primeiro selecione o TIPO, depois escolha o item" sqref="D181" xr:uid="{00000000-0002-0000-0700-0000B3000000}">
      <formula1>INDIRECT("LISTA_"&amp;$C$181)</formula1>
    </dataValidation>
    <dataValidation type="list" allowBlank="1" showErrorMessage="1" errorTitle="Item inválido" error="Primeiro selecione o TIPO, depois escolha o item" sqref="D182" xr:uid="{00000000-0002-0000-0700-0000B4000000}">
      <formula1>INDIRECT("LISTA_"&amp;$C$182)</formula1>
    </dataValidation>
    <dataValidation type="list" allowBlank="1" showErrorMessage="1" errorTitle="Item inválido" error="Primeiro selecione o TIPO, depois escolha o item" sqref="D183" xr:uid="{00000000-0002-0000-0700-0000B5000000}">
      <formula1>INDIRECT("LISTA_"&amp;$C$183)</formula1>
    </dataValidation>
    <dataValidation type="list" allowBlank="1" showErrorMessage="1" errorTitle="Item inválido" error="Primeiro selecione o TIPO, depois escolha o item" sqref="D184" xr:uid="{00000000-0002-0000-0700-0000B6000000}">
      <formula1>INDIRECT("LISTA_"&amp;$C$184)</formula1>
    </dataValidation>
    <dataValidation type="list" allowBlank="1" showErrorMessage="1" errorTitle="Item inválido" error="Primeiro selecione o TIPO, depois escolha o item" sqref="D185" xr:uid="{00000000-0002-0000-0700-0000B7000000}">
      <formula1>INDIRECT("LISTA_"&amp;$C$185)</formula1>
    </dataValidation>
    <dataValidation type="list" allowBlank="1" showErrorMessage="1" errorTitle="Item inválido" error="Primeiro selecione o TIPO, depois escolha o item" sqref="D186" xr:uid="{00000000-0002-0000-0700-0000B8000000}">
      <formula1>INDIRECT("LISTA_"&amp;$C$186)</formula1>
    </dataValidation>
    <dataValidation type="list" allowBlank="1" showErrorMessage="1" errorTitle="Item inválido" error="Primeiro selecione o TIPO, depois escolha o item" sqref="D187" xr:uid="{00000000-0002-0000-0700-0000B9000000}">
      <formula1>INDIRECT("LISTA_"&amp;$C$187)</formula1>
    </dataValidation>
    <dataValidation type="list" allowBlank="1" showErrorMessage="1" errorTitle="Item inválido" error="Primeiro selecione o TIPO, depois escolha o item" sqref="D188" xr:uid="{00000000-0002-0000-0700-0000BA000000}">
      <formula1>INDIRECT("LISTA_"&amp;$C$188)</formula1>
    </dataValidation>
    <dataValidation type="list" allowBlank="1" showErrorMessage="1" errorTitle="Item inválido" error="Primeiro selecione o TIPO, depois escolha o item" sqref="D189" xr:uid="{00000000-0002-0000-0700-0000BB000000}">
      <formula1>INDIRECT("LISTA_"&amp;$C$189)</formula1>
    </dataValidation>
    <dataValidation type="list" allowBlank="1" showErrorMessage="1" errorTitle="Item inválido" error="Primeiro selecione o TIPO, depois escolha o item" sqref="D190" xr:uid="{00000000-0002-0000-0700-0000BC000000}">
      <formula1>INDIRECT("LISTA_"&amp;$C$190)</formula1>
    </dataValidation>
    <dataValidation type="list" allowBlank="1" showErrorMessage="1" errorTitle="Item inválido" error="Primeiro selecione o TIPO, depois escolha o item" sqref="D191" xr:uid="{00000000-0002-0000-0700-0000BD000000}">
      <formula1>INDIRECT("LISTA_"&amp;$C$191)</formula1>
    </dataValidation>
    <dataValidation type="list" allowBlank="1" showErrorMessage="1" errorTitle="Item inválido" error="Primeiro selecione o TIPO, depois escolha o item" sqref="D192" xr:uid="{00000000-0002-0000-0700-0000BE000000}">
      <formula1>INDIRECT("LISTA_"&amp;$C$192)</formula1>
    </dataValidation>
    <dataValidation type="list" allowBlank="1" showErrorMessage="1" errorTitle="Item inválido" error="Primeiro selecione o TIPO, depois escolha o item" sqref="D193" xr:uid="{00000000-0002-0000-0700-0000BF000000}">
      <formula1>INDIRECT("LISTA_"&amp;$C$193)</formula1>
    </dataValidation>
    <dataValidation type="list" allowBlank="1" showErrorMessage="1" errorTitle="Item inválido" error="Primeiro selecione o TIPO, depois escolha o item" sqref="D194" xr:uid="{00000000-0002-0000-0700-0000C0000000}">
      <formula1>INDIRECT("LISTA_"&amp;$C$194)</formula1>
    </dataValidation>
    <dataValidation type="list" allowBlank="1" showErrorMessage="1" errorTitle="Item inválido" error="Primeiro selecione o TIPO, depois escolha o item" sqref="D195" xr:uid="{00000000-0002-0000-0700-0000C1000000}">
      <formula1>INDIRECT("LISTA_"&amp;$C$195)</formula1>
    </dataValidation>
    <dataValidation type="list" allowBlank="1" showErrorMessage="1" errorTitle="Item inválido" error="Primeiro selecione o TIPO, depois escolha o item" sqref="D196" xr:uid="{00000000-0002-0000-0700-0000C2000000}">
      <formula1>INDIRECT("LISTA_"&amp;$C$196)</formula1>
    </dataValidation>
    <dataValidation type="list" allowBlank="1" showErrorMessage="1" errorTitle="Item inválido" error="Primeiro selecione o TIPO, depois escolha o item" sqref="D197" xr:uid="{00000000-0002-0000-0700-0000C3000000}">
      <formula1>INDIRECT("LISTA_"&amp;$C$197)</formula1>
    </dataValidation>
    <dataValidation type="list" allowBlank="1" showErrorMessage="1" errorTitle="Item inválido" error="Primeiro selecione o TIPO, depois escolha o item" sqref="D198" xr:uid="{00000000-0002-0000-0700-0000C4000000}">
      <formula1>INDIRECT("LISTA_"&amp;$C$198)</formula1>
    </dataValidation>
    <dataValidation type="list" allowBlank="1" showErrorMessage="1" errorTitle="Item inválido" error="Primeiro selecione o TIPO, depois escolha o item" sqref="D199" xr:uid="{00000000-0002-0000-0700-0000C5000000}">
      <formula1>INDIRECT("LISTA_"&amp;$C$199)</formula1>
    </dataValidation>
    <dataValidation type="list" allowBlank="1" showErrorMessage="1" errorTitle="Item inválido" error="Primeiro selecione o TIPO, depois escolha o item" sqref="D200" xr:uid="{00000000-0002-0000-0700-0000C6000000}">
      <formula1>INDIRECT("LISTA_"&amp;$C$200)</formula1>
    </dataValidation>
    <dataValidation type="list" allowBlank="1" showErrorMessage="1" errorTitle="Item inválido" error="Primeiro selecione o TIPO, depois escolha o item" sqref="D201" xr:uid="{00000000-0002-0000-0700-0000C7000000}">
      <formula1>INDIRECT("LISTA_"&amp;$C$201)</formula1>
    </dataValidation>
    <dataValidation type="list" allowBlank="1" showErrorMessage="1" errorTitle="Item inválido" error="Primeiro selecione o TIPO, depois escolha o item" sqref="D202" xr:uid="{00000000-0002-0000-0700-0000C8000000}">
      <formula1>INDIRECT("LISTA_"&amp;$C$202)</formula1>
    </dataValidation>
    <dataValidation type="list" allowBlank="1" showErrorMessage="1" errorTitle="Item inválido" error="Primeiro selecione o TIPO, depois escolha o item" sqref="D203" xr:uid="{00000000-0002-0000-0700-0000C9000000}">
      <formula1>INDIRECT("LISTA_"&amp;$C$203)</formula1>
    </dataValidation>
    <dataValidation type="list" allowBlank="1" showErrorMessage="1" errorTitle="Item inválido" error="Primeiro selecione o TIPO, depois escolha o item" sqref="D204" xr:uid="{00000000-0002-0000-0700-0000CA000000}">
      <formula1>INDIRECT("LISTA_"&amp;$C$204)</formula1>
    </dataValidation>
    <dataValidation type="list" allowBlank="1" showErrorMessage="1" errorTitle="Item inválido" error="Primeiro selecione o TIPO, depois escolha o item" sqref="D205" xr:uid="{00000000-0002-0000-0700-0000CB000000}">
      <formula1>INDIRECT("LISTA_"&amp;$C$205)</formula1>
    </dataValidation>
    <dataValidation type="list" allowBlank="1" showErrorMessage="1" errorTitle="Item inválido" error="Primeiro selecione o TIPO, depois escolha o item" sqref="D206" xr:uid="{00000000-0002-0000-0700-0000CC000000}">
      <formula1>INDIRECT("LISTA_"&amp;$C$206)</formula1>
    </dataValidation>
    <dataValidation type="list" allowBlank="1" showErrorMessage="1" errorTitle="Item inválido" error="Primeiro selecione o TIPO, depois escolha o item" sqref="D207" xr:uid="{00000000-0002-0000-0700-0000CD000000}">
      <formula1>INDIRECT("LISTA_"&amp;$C$207)</formula1>
    </dataValidation>
    <dataValidation type="list" allowBlank="1" showErrorMessage="1" errorTitle="Item inválido" error="Primeiro selecione o TIPO, depois escolha o item" sqref="D208" xr:uid="{00000000-0002-0000-0700-0000CE000000}">
      <formula1>INDIRECT("LISTA_"&amp;$C$208)</formula1>
    </dataValidation>
    <dataValidation type="list" allowBlank="1" showErrorMessage="1" errorTitle="Item inválido" error="Primeiro selecione o TIPO, depois escolha o item" sqref="D209" xr:uid="{00000000-0002-0000-0700-0000CF000000}">
      <formula1>INDIRECT("LISTA_"&amp;$C$209)</formula1>
    </dataValidation>
    <dataValidation type="list" allowBlank="1" showErrorMessage="1" errorTitle="Item inválido" error="Primeiro selecione o TIPO, depois escolha o item" sqref="D210" xr:uid="{00000000-0002-0000-0700-0000D0000000}">
      <formula1>INDIRECT("LISTA_"&amp;$C$210)</formula1>
    </dataValidation>
    <dataValidation type="list" allowBlank="1" showErrorMessage="1" errorTitle="Item inválido" error="Primeiro selecione o TIPO, depois escolha o item" sqref="D211" xr:uid="{00000000-0002-0000-0700-0000D1000000}">
      <formula1>INDIRECT("LISTA_"&amp;$C$211)</formula1>
    </dataValidation>
    <dataValidation type="list" allowBlank="1" showErrorMessage="1" errorTitle="Item inválido" error="Primeiro selecione o TIPO, depois escolha o item" sqref="D212" xr:uid="{00000000-0002-0000-0700-0000D2000000}">
      <formula1>INDIRECT("LISTA_"&amp;$C$212)</formula1>
    </dataValidation>
    <dataValidation type="list" allowBlank="1" showErrorMessage="1" errorTitle="Item inválido" error="Primeiro selecione o TIPO, depois escolha o item" sqref="D213" xr:uid="{00000000-0002-0000-0700-0000D3000000}">
      <formula1>INDIRECT("LISTA_"&amp;$C$213)</formula1>
    </dataValidation>
    <dataValidation type="list" allowBlank="1" showErrorMessage="1" errorTitle="Item inválido" error="Primeiro selecione o TIPO, depois escolha o item" sqref="D214" xr:uid="{00000000-0002-0000-0700-0000D4000000}">
      <formula1>INDIRECT("LISTA_"&amp;$C$214)</formula1>
    </dataValidation>
    <dataValidation type="list" allowBlank="1" showErrorMessage="1" errorTitle="Item inválido" error="Primeiro selecione o TIPO, depois escolha o item" sqref="D215" xr:uid="{00000000-0002-0000-0700-0000D5000000}">
      <formula1>INDIRECT("LISTA_"&amp;$C$215)</formula1>
    </dataValidation>
    <dataValidation type="list" allowBlank="1" showErrorMessage="1" errorTitle="Item inválido" error="Primeiro selecione o TIPO, depois escolha o item" sqref="D216" xr:uid="{00000000-0002-0000-0700-0000D6000000}">
      <formula1>INDIRECT("LISTA_"&amp;$C$216)</formula1>
    </dataValidation>
    <dataValidation type="list" allowBlank="1" showErrorMessage="1" errorTitle="Item inválido" error="Primeiro selecione o TIPO, depois escolha o item" sqref="D217" xr:uid="{00000000-0002-0000-0700-0000D7000000}">
      <formula1>INDIRECT("LISTA_"&amp;$C$217)</formula1>
    </dataValidation>
    <dataValidation type="list" allowBlank="1" showErrorMessage="1" errorTitle="Item inválido" error="Primeiro selecione o TIPO, depois escolha o item" sqref="D218" xr:uid="{00000000-0002-0000-0700-0000D8000000}">
      <formula1>INDIRECT("LISTA_"&amp;$C$218)</formula1>
    </dataValidation>
    <dataValidation type="list" allowBlank="1" showErrorMessage="1" errorTitle="Item inválido" error="Primeiro selecione o TIPO, depois escolha o item" sqref="D219" xr:uid="{00000000-0002-0000-0700-0000D9000000}">
      <formula1>INDIRECT("LISTA_"&amp;$C$219)</formula1>
    </dataValidation>
    <dataValidation type="list" allowBlank="1" showErrorMessage="1" errorTitle="Item inválido" error="Primeiro selecione o TIPO, depois escolha o item" sqref="D220" xr:uid="{00000000-0002-0000-0700-0000DA000000}">
      <formula1>INDIRECT("LISTA_"&amp;$C$220)</formula1>
    </dataValidation>
    <dataValidation type="list" allowBlank="1" showErrorMessage="1" errorTitle="Item inválido" error="Primeiro selecione o TIPO, depois escolha o item" sqref="D221" xr:uid="{00000000-0002-0000-0700-0000DB000000}">
      <formula1>INDIRECT("LISTA_"&amp;$C$221)</formula1>
    </dataValidation>
    <dataValidation type="list" allowBlank="1" showErrorMessage="1" errorTitle="Item inválido" error="Primeiro selecione o TIPO, depois escolha o item" sqref="D222" xr:uid="{00000000-0002-0000-0700-0000DC000000}">
      <formula1>INDIRECT("LISTA_"&amp;$C$222)</formula1>
    </dataValidation>
    <dataValidation type="list" allowBlank="1" showErrorMessage="1" errorTitle="Item inválido" error="Primeiro selecione o TIPO, depois escolha o item" sqref="D223" xr:uid="{00000000-0002-0000-0700-0000DD000000}">
      <formula1>INDIRECT("LISTA_"&amp;$C$223)</formula1>
    </dataValidation>
    <dataValidation type="list" allowBlank="1" showErrorMessage="1" errorTitle="Item inválido" error="Primeiro selecione o TIPO, depois escolha o item" sqref="D224" xr:uid="{00000000-0002-0000-0700-0000DE000000}">
      <formula1>INDIRECT("LISTA_"&amp;$C$224)</formula1>
    </dataValidation>
    <dataValidation type="list" allowBlank="1" showErrorMessage="1" errorTitle="Item inválido" error="Primeiro selecione o TIPO, depois escolha o item" sqref="D225" xr:uid="{00000000-0002-0000-0700-0000DF000000}">
      <formula1>INDIRECT("LISTA_"&amp;$C$225)</formula1>
    </dataValidation>
    <dataValidation type="list" allowBlank="1" showErrorMessage="1" errorTitle="Item inválido" error="Primeiro selecione o TIPO, depois escolha o item" sqref="D226" xr:uid="{00000000-0002-0000-0700-0000E0000000}">
      <formula1>INDIRECT("LISTA_"&amp;$C$226)</formula1>
    </dataValidation>
    <dataValidation type="list" allowBlank="1" showErrorMessage="1" errorTitle="Item inválido" error="Primeiro selecione o TIPO, depois escolha o item" sqref="D227" xr:uid="{00000000-0002-0000-0700-0000E1000000}">
      <formula1>INDIRECT("LISTA_"&amp;$C$227)</formula1>
    </dataValidation>
    <dataValidation type="list" allowBlank="1" showErrorMessage="1" errorTitle="Item inválido" error="Primeiro selecione o TIPO, depois escolha o item" sqref="D228" xr:uid="{00000000-0002-0000-0700-0000E2000000}">
      <formula1>INDIRECT("LISTA_"&amp;$C$228)</formula1>
    </dataValidation>
    <dataValidation type="list" allowBlank="1" showErrorMessage="1" errorTitle="Item inválido" error="Primeiro selecione o TIPO, depois escolha o item" sqref="D229" xr:uid="{00000000-0002-0000-0700-0000E3000000}">
      <formula1>INDIRECT("LISTA_"&amp;$C$229)</formula1>
    </dataValidation>
    <dataValidation type="list" allowBlank="1" showErrorMessage="1" errorTitle="Item inválido" error="Primeiro selecione o TIPO, depois escolha o item" sqref="D230" xr:uid="{00000000-0002-0000-0700-0000E4000000}">
      <formula1>INDIRECT("LISTA_"&amp;$C$230)</formula1>
    </dataValidation>
    <dataValidation type="list" allowBlank="1" showErrorMessage="1" errorTitle="Item inválido" error="Primeiro selecione o TIPO, depois escolha o item" sqref="D231" xr:uid="{00000000-0002-0000-0700-0000E5000000}">
      <formula1>INDIRECT("LISTA_"&amp;$C$231)</formula1>
    </dataValidation>
    <dataValidation type="list" allowBlank="1" showErrorMessage="1" errorTitle="Item inválido" error="Primeiro selecione o TIPO, depois escolha o item" sqref="D232" xr:uid="{00000000-0002-0000-0700-0000E6000000}">
      <formula1>INDIRECT("LISTA_"&amp;$C$232)</formula1>
    </dataValidation>
    <dataValidation type="list" allowBlank="1" showErrorMessage="1" errorTitle="Item inválido" error="Primeiro selecione o TIPO, depois escolha o item" sqref="D233" xr:uid="{00000000-0002-0000-0700-0000E7000000}">
      <formula1>INDIRECT("LISTA_"&amp;$C$233)</formula1>
    </dataValidation>
    <dataValidation type="list" allowBlank="1" showErrorMessage="1" errorTitle="Item inválido" error="Primeiro selecione o TIPO, depois escolha o item" sqref="D234" xr:uid="{00000000-0002-0000-0700-0000E8000000}">
      <formula1>INDIRECT("LISTA_"&amp;$C$234)</formula1>
    </dataValidation>
    <dataValidation type="list" allowBlank="1" showErrorMessage="1" errorTitle="Item inválido" error="Primeiro selecione o TIPO, depois escolha o item" sqref="D235" xr:uid="{00000000-0002-0000-0700-0000E9000000}">
      <formula1>INDIRECT("LISTA_"&amp;$C$235)</formula1>
    </dataValidation>
    <dataValidation type="list" allowBlank="1" showErrorMessage="1" errorTitle="Item inválido" error="Primeiro selecione o TIPO, depois escolha o item" sqref="D236" xr:uid="{00000000-0002-0000-0700-0000EA000000}">
      <formula1>INDIRECT("LISTA_"&amp;$C$236)</formula1>
    </dataValidation>
    <dataValidation type="list" allowBlank="1" showErrorMessage="1" errorTitle="Item inválido" error="Primeiro selecione o TIPO, depois escolha o item" sqref="D237" xr:uid="{00000000-0002-0000-0700-0000EB000000}">
      <formula1>INDIRECT("LISTA_"&amp;$C$237)</formula1>
    </dataValidation>
    <dataValidation type="list" allowBlank="1" showErrorMessage="1" errorTitle="Item inválido" error="Primeiro selecione o TIPO, depois escolha o item" sqref="D238" xr:uid="{00000000-0002-0000-0700-0000EC000000}">
      <formula1>INDIRECT("LISTA_"&amp;$C$238)</formula1>
    </dataValidation>
    <dataValidation type="list" allowBlank="1" showErrorMessage="1" errorTitle="Item inválido" error="Primeiro selecione o TIPO, depois escolha o item" sqref="D239" xr:uid="{00000000-0002-0000-0700-0000ED000000}">
      <formula1>INDIRECT("LISTA_"&amp;$C$239)</formula1>
    </dataValidation>
    <dataValidation type="list" allowBlank="1" showErrorMessage="1" errorTitle="Item inválido" error="Primeiro selecione o TIPO, depois escolha o item" sqref="D240" xr:uid="{00000000-0002-0000-0700-0000EE000000}">
      <formula1>INDIRECT("LISTA_"&amp;$C$240)</formula1>
    </dataValidation>
    <dataValidation type="list" allowBlank="1" showErrorMessage="1" errorTitle="Item inválido" error="Primeiro selecione o TIPO, depois escolha o item" sqref="D241" xr:uid="{00000000-0002-0000-0700-0000EF000000}">
      <formula1>INDIRECT("LISTA_"&amp;$C$241)</formula1>
    </dataValidation>
    <dataValidation type="list" allowBlank="1" showErrorMessage="1" errorTitle="Item inválido" error="Primeiro selecione o TIPO, depois escolha o item" sqref="D242" xr:uid="{00000000-0002-0000-0700-0000F0000000}">
      <formula1>INDIRECT("LISTA_"&amp;$C$242)</formula1>
    </dataValidation>
    <dataValidation type="list" allowBlank="1" showErrorMessage="1" errorTitle="Item inválido" error="Primeiro selecione o TIPO, depois escolha o item" sqref="D243" xr:uid="{00000000-0002-0000-0700-0000F1000000}">
      <formula1>INDIRECT("LISTA_"&amp;$C$243)</formula1>
    </dataValidation>
    <dataValidation type="list" allowBlank="1" showErrorMessage="1" errorTitle="Item inválido" error="Primeiro selecione o TIPO, depois escolha o item" sqref="D244" xr:uid="{00000000-0002-0000-0700-0000F2000000}">
      <formula1>INDIRECT("LISTA_"&amp;$C$244)</formula1>
    </dataValidation>
    <dataValidation type="list" allowBlank="1" showErrorMessage="1" errorTitle="Item inválido" error="Primeiro selecione o TIPO, depois escolha o item" sqref="D245" xr:uid="{00000000-0002-0000-0700-0000F3000000}">
      <formula1>INDIRECT("LISTA_"&amp;$C$245)</formula1>
    </dataValidation>
    <dataValidation type="list" allowBlank="1" showErrorMessage="1" errorTitle="Item inválido" error="Primeiro selecione o TIPO, depois escolha o item" sqref="D246" xr:uid="{00000000-0002-0000-0700-0000F4000000}">
      <formula1>INDIRECT("LISTA_"&amp;$C$246)</formula1>
    </dataValidation>
    <dataValidation type="list" allowBlank="1" showErrorMessage="1" errorTitle="Item inválido" error="Primeiro selecione o TIPO, depois escolha o item" sqref="D247" xr:uid="{00000000-0002-0000-0700-0000F5000000}">
      <formula1>INDIRECT("LISTA_"&amp;$C$247)</formula1>
    </dataValidation>
    <dataValidation type="list" allowBlank="1" showErrorMessage="1" errorTitle="Item inválido" error="Primeiro selecione o TIPO, depois escolha o item" sqref="D248" xr:uid="{00000000-0002-0000-0700-0000F6000000}">
      <formula1>INDIRECT("LISTA_"&amp;$C$248)</formula1>
    </dataValidation>
    <dataValidation type="list" allowBlank="1" showErrorMessage="1" errorTitle="Item inválido" error="Primeiro selecione o TIPO, depois escolha o item" sqref="D249" xr:uid="{00000000-0002-0000-0700-0000F7000000}">
      <formula1>INDIRECT("LISTA_"&amp;$C$249)</formula1>
    </dataValidation>
    <dataValidation type="list" allowBlank="1" showErrorMessage="1" errorTitle="Item inválido" error="Primeiro selecione o TIPO, depois escolha o item" sqref="D250" xr:uid="{00000000-0002-0000-0700-0000F8000000}">
      <formula1>INDIRECT("LISTA_"&amp;$C$250)</formula1>
    </dataValidation>
    <dataValidation type="list" allowBlank="1" showErrorMessage="1" errorTitle="Item inválido" error="Primeiro selecione o TIPO, depois escolha o item" sqref="D251" xr:uid="{00000000-0002-0000-0700-0000F9000000}">
      <formula1>INDIRECT("LISTA_"&amp;$C$251)</formula1>
    </dataValidation>
    <dataValidation type="list" allowBlank="1" showErrorMessage="1" errorTitle="Item inválido" error="Primeiro selecione o TIPO, depois escolha o item" sqref="D252" xr:uid="{00000000-0002-0000-0700-0000FA000000}">
      <formula1>INDIRECT("LISTA_"&amp;$C$252)</formula1>
    </dataValidation>
    <dataValidation type="list" allowBlank="1" showErrorMessage="1" errorTitle="Item inválido" error="Primeiro selecione o TIPO, depois escolha o item" sqref="D253" xr:uid="{00000000-0002-0000-0700-0000FB000000}">
      <formula1>INDIRECT("LISTA_"&amp;$C$253)</formula1>
    </dataValidation>
    <dataValidation type="list" allowBlank="1" showErrorMessage="1" errorTitle="Item inválido" error="Primeiro selecione o TIPO, depois escolha o item" sqref="D254" xr:uid="{00000000-0002-0000-0700-0000FC000000}">
      <formula1>INDIRECT("LISTA_"&amp;$C$254)</formula1>
    </dataValidation>
    <dataValidation type="list" allowBlank="1" showErrorMessage="1" errorTitle="Item inválido" error="Primeiro selecione o TIPO, depois escolha o item" sqref="D255" xr:uid="{00000000-0002-0000-0700-0000FD000000}">
      <formula1>INDIRECT("LISTA_"&amp;$C$255)</formula1>
    </dataValidation>
    <dataValidation type="list" allowBlank="1" showErrorMessage="1" errorTitle="Item inválido" error="Primeiro selecione o TIPO, depois escolha o item" sqref="D256" xr:uid="{00000000-0002-0000-0700-0000FE000000}">
      <formula1>INDIRECT("LISTA_"&amp;$C$256)</formula1>
    </dataValidation>
    <dataValidation type="list" allowBlank="1" showErrorMessage="1" errorTitle="Item inválido" error="Primeiro selecione o TIPO, depois escolha o item" sqref="D257" xr:uid="{00000000-0002-0000-0700-0000FF000000}">
      <formula1>INDIRECT("LISTA_"&amp;$C$257)</formula1>
    </dataValidation>
    <dataValidation type="list" allowBlank="1" showErrorMessage="1" errorTitle="Item inválido" error="Primeiro selecione o TIPO, depois escolha o item" sqref="D258" xr:uid="{00000000-0002-0000-0700-000000010000}">
      <formula1>INDIRECT("LISTA_"&amp;$C$258)</formula1>
    </dataValidation>
    <dataValidation type="list" allowBlank="1" showErrorMessage="1" errorTitle="Item inválido" error="Primeiro selecione o TIPO, depois escolha o item" sqref="D259" xr:uid="{00000000-0002-0000-0700-000001010000}">
      <formula1>INDIRECT("LISTA_"&amp;$C$259)</formula1>
    </dataValidation>
    <dataValidation type="list" allowBlank="1" showErrorMessage="1" errorTitle="Item inválido" error="Primeiro selecione o TIPO, depois escolha o item" sqref="D260" xr:uid="{00000000-0002-0000-0700-000002010000}">
      <formula1>INDIRECT("LISTA_"&amp;$C$260)</formula1>
    </dataValidation>
    <dataValidation type="list" allowBlank="1" showErrorMessage="1" errorTitle="Item inválido" error="Primeiro selecione o TIPO, depois escolha o item" sqref="D261" xr:uid="{00000000-0002-0000-0700-000003010000}">
      <formula1>INDIRECT("LISTA_"&amp;$C$261)</formula1>
    </dataValidation>
    <dataValidation type="list" allowBlank="1" showErrorMessage="1" errorTitle="Item inválido" error="Primeiro selecione o TIPO, depois escolha o item" sqref="D262" xr:uid="{00000000-0002-0000-0700-000004010000}">
      <formula1>INDIRECT("LISTA_"&amp;$C$262)</formula1>
    </dataValidation>
    <dataValidation type="list" allowBlank="1" showErrorMessage="1" errorTitle="Item inválido" error="Primeiro selecione o TIPO, depois escolha o item" sqref="D263" xr:uid="{00000000-0002-0000-0700-000005010000}">
      <formula1>INDIRECT("LISTA_"&amp;$C$263)</formula1>
    </dataValidation>
    <dataValidation type="list" allowBlank="1" showErrorMessage="1" errorTitle="Item inválido" error="Primeiro selecione o TIPO, depois escolha o item" sqref="D264" xr:uid="{00000000-0002-0000-0700-000006010000}">
      <formula1>INDIRECT("LISTA_"&amp;$C$264)</formula1>
    </dataValidation>
    <dataValidation type="list" allowBlank="1" showErrorMessage="1" errorTitle="Item inválido" error="Primeiro selecione o TIPO, depois escolha o item" sqref="D265" xr:uid="{00000000-0002-0000-0700-000007010000}">
      <formula1>INDIRECT("LISTA_"&amp;$C$265)</formula1>
    </dataValidation>
    <dataValidation type="list" allowBlank="1" showErrorMessage="1" errorTitle="Item inválido" error="Primeiro selecione o TIPO, depois escolha o item" sqref="D266" xr:uid="{00000000-0002-0000-0700-000008010000}">
      <formula1>INDIRECT("LISTA_"&amp;$C$266)</formula1>
    </dataValidation>
    <dataValidation type="list" allowBlank="1" showErrorMessage="1" errorTitle="Item inválido" error="Primeiro selecione o TIPO, depois escolha o item" sqref="D267" xr:uid="{00000000-0002-0000-0700-000009010000}">
      <formula1>INDIRECT("LISTA_"&amp;$C$267)</formula1>
    </dataValidation>
    <dataValidation type="list" allowBlank="1" showErrorMessage="1" errorTitle="Item inválido" error="Primeiro selecione o TIPO, depois escolha o item" sqref="D268" xr:uid="{00000000-0002-0000-0700-00000A010000}">
      <formula1>INDIRECT("LISTA_"&amp;$C$268)</formula1>
    </dataValidation>
    <dataValidation type="list" allowBlank="1" showErrorMessage="1" errorTitle="Item inválido" error="Primeiro selecione o TIPO, depois escolha o item" sqref="D269" xr:uid="{00000000-0002-0000-0700-00000B010000}">
      <formula1>INDIRECT("LISTA_"&amp;$C$269)</formula1>
    </dataValidation>
    <dataValidation type="list" allowBlank="1" showErrorMessage="1" errorTitle="Item inválido" error="Primeiro selecione o TIPO, depois escolha o item" sqref="D270" xr:uid="{00000000-0002-0000-0700-00000C010000}">
      <formula1>INDIRECT("LISTA_"&amp;$C$270)</formula1>
    </dataValidation>
    <dataValidation type="list" allowBlank="1" showErrorMessage="1" errorTitle="Item inválido" error="Primeiro selecione o TIPO, depois escolha o item" sqref="D271" xr:uid="{00000000-0002-0000-0700-00000D010000}">
      <formula1>INDIRECT("LISTA_"&amp;$C$271)</formula1>
    </dataValidation>
    <dataValidation type="list" allowBlank="1" showErrorMessage="1" errorTitle="Item inválido" error="Primeiro selecione o TIPO, depois escolha o item" sqref="D272" xr:uid="{00000000-0002-0000-0700-00000E010000}">
      <formula1>INDIRECT("LISTA_"&amp;$C$272)</formula1>
    </dataValidation>
    <dataValidation type="list" allowBlank="1" showErrorMessage="1" errorTitle="Item inválido" error="Primeiro selecione o TIPO, depois escolha o item" sqref="D273" xr:uid="{00000000-0002-0000-0700-00000F010000}">
      <formula1>INDIRECT("LISTA_"&amp;$C$273)</formula1>
    </dataValidation>
    <dataValidation type="list" allowBlank="1" showErrorMessage="1" errorTitle="Item inválido" error="Primeiro selecione o TIPO, depois escolha o item" sqref="D274" xr:uid="{00000000-0002-0000-0700-000010010000}">
      <formula1>INDIRECT("LISTA_"&amp;$C$274)</formula1>
    </dataValidation>
    <dataValidation type="list" allowBlank="1" showErrorMessage="1" errorTitle="Item inválido" error="Primeiro selecione o TIPO, depois escolha o item" sqref="D275" xr:uid="{00000000-0002-0000-0700-000011010000}">
      <formula1>INDIRECT("LISTA_"&amp;$C$275)</formula1>
    </dataValidation>
    <dataValidation type="list" allowBlank="1" showErrorMessage="1" errorTitle="Item inválido" error="Primeiro selecione o TIPO, depois escolha o item" sqref="D276" xr:uid="{00000000-0002-0000-0700-000012010000}">
      <formula1>INDIRECT("LISTA_"&amp;$C$276)</formula1>
    </dataValidation>
    <dataValidation type="list" allowBlank="1" showErrorMessage="1" errorTitle="Item inválido" error="Primeiro selecione o TIPO, depois escolha o item" sqref="D277" xr:uid="{00000000-0002-0000-0700-000013010000}">
      <formula1>INDIRECT("LISTA_"&amp;$C$277)</formula1>
    </dataValidation>
    <dataValidation type="list" allowBlank="1" showErrorMessage="1" errorTitle="Item inválido" error="Primeiro selecione o TIPO, depois escolha o item" sqref="D278" xr:uid="{00000000-0002-0000-0700-000014010000}">
      <formula1>INDIRECT("LISTA_"&amp;$C$278)</formula1>
    </dataValidation>
    <dataValidation type="list" allowBlank="1" showErrorMessage="1" errorTitle="Item inválido" error="Primeiro selecione o TIPO, depois escolha o item" sqref="D279" xr:uid="{00000000-0002-0000-0700-000015010000}">
      <formula1>INDIRECT("LISTA_"&amp;$C$279)</formula1>
    </dataValidation>
    <dataValidation type="list" allowBlank="1" showErrorMessage="1" errorTitle="Item inválido" error="Primeiro selecione o TIPO, depois escolha o item" sqref="D280" xr:uid="{00000000-0002-0000-0700-000016010000}">
      <formula1>INDIRECT("LISTA_"&amp;$C$280)</formula1>
    </dataValidation>
    <dataValidation type="list" allowBlank="1" showErrorMessage="1" errorTitle="Item inválido" error="Primeiro selecione o TIPO, depois escolha o item" sqref="D281" xr:uid="{00000000-0002-0000-0700-000017010000}">
      <formula1>INDIRECT("LISTA_"&amp;$C$281)</formula1>
    </dataValidation>
    <dataValidation type="list" allowBlank="1" showErrorMessage="1" errorTitle="Item inválido" error="Primeiro selecione o TIPO, depois escolha o item" sqref="D282" xr:uid="{00000000-0002-0000-0700-000018010000}">
      <formula1>INDIRECT("LISTA_"&amp;$C$282)</formula1>
    </dataValidation>
    <dataValidation type="list" allowBlank="1" showErrorMessage="1" errorTitle="Item inválido" error="Primeiro selecione o TIPO, depois escolha o item" sqref="D283" xr:uid="{00000000-0002-0000-0700-000019010000}">
      <formula1>INDIRECT("LISTA_"&amp;$C$283)</formula1>
    </dataValidation>
    <dataValidation type="list" allowBlank="1" showErrorMessage="1" errorTitle="Item inválido" error="Primeiro selecione o TIPO, depois escolha o item" sqref="D284" xr:uid="{00000000-0002-0000-0700-00001A010000}">
      <formula1>INDIRECT("LISTA_"&amp;$C$284)</formula1>
    </dataValidation>
    <dataValidation type="list" allowBlank="1" showErrorMessage="1" errorTitle="Item inválido" error="Primeiro selecione o TIPO, depois escolha o item" sqref="D285" xr:uid="{00000000-0002-0000-0700-00001B010000}">
      <formula1>INDIRECT("LISTA_"&amp;$C$285)</formula1>
    </dataValidation>
    <dataValidation type="list" allowBlank="1" showErrorMessage="1" errorTitle="Item inválido" error="Primeiro selecione o TIPO, depois escolha o item" sqref="D286" xr:uid="{00000000-0002-0000-0700-00001C010000}">
      <formula1>INDIRECT("LISTA_"&amp;$C$286)</formula1>
    </dataValidation>
    <dataValidation type="list" allowBlank="1" showErrorMessage="1" errorTitle="Item inválido" error="Primeiro selecione o TIPO, depois escolha o item" sqref="D287" xr:uid="{00000000-0002-0000-0700-00001D010000}">
      <formula1>INDIRECT("LISTA_"&amp;$C$287)</formula1>
    </dataValidation>
    <dataValidation type="list" allowBlank="1" showErrorMessage="1" errorTitle="Item inválido" error="Primeiro selecione o TIPO, depois escolha o item" sqref="D288" xr:uid="{00000000-0002-0000-0700-00001E010000}">
      <formula1>INDIRECT("LISTA_"&amp;$C$288)</formula1>
    </dataValidation>
    <dataValidation type="list" allowBlank="1" showErrorMessage="1" errorTitle="Item inválido" error="Primeiro selecione o TIPO, depois escolha o item" sqref="D289" xr:uid="{00000000-0002-0000-0700-00001F010000}">
      <formula1>INDIRECT("LISTA_"&amp;$C$289)</formula1>
    </dataValidation>
    <dataValidation type="list" allowBlank="1" showErrorMessage="1" errorTitle="Item inválido" error="Primeiro selecione o TIPO, depois escolha o item" sqref="D290" xr:uid="{00000000-0002-0000-0700-000020010000}">
      <formula1>INDIRECT("LISTA_"&amp;$C$290)</formula1>
    </dataValidation>
    <dataValidation type="list" allowBlank="1" showErrorMessage="1" errorTitle="Item inválido" error="Primeiro selecione o TIPO, depois escolha o item" sqref="D291" xr:uid="{00000000-0002-0000-0700-000021010000}">
      <formula1>INDIRECT("LISTA_"&amp;$C$291)</formula1>
    </dataValidation>
    <dataValidation type="list" allowBlank="1" showErrorMessage="1" errorTitle="Item inválido" error="Primeiro selecione o TIPO, depois escolha o item" sqref="D292" xr:uid="{00000000-0002-0000-0700-000022010000}">
      <formula1>INDIRECT("LISTA_"&amp;$C$292)</formula1>
    </dataValidation>
    <dataValidation type="list" allowBlank="1" showErrorMessage="1" errorTitle="Item inválido" error="Primeiro selecione o TIPO, depois escolha o item" sqref="D293" xr:uid="{00000000-0002-0000-0700-000023010000}">
      <formula1>INDIRECT("LISTA_"&amp;$C$293)</formula1>
    </dataValidation>
    <dataValidation type="list" allowBlank="1" showErrorMessage="1" errorTitle="Item inválido" error="Primeiro selecione o TIPO, depois escolha o item" sqref="D294" xr:uid="{00000000-0002-0000-0700-000024010000}">
      <formula1>INDIRECT("LISTA_"&amp;$C$294)</formula1>
    </dataValidation>
    <dataValidation type="list" allowBlank="1" showErrorMessage="1" errorTitle="Item inválido" error="Primeiro selecione o TIPO, depois escolha o item" sqref="D295" xr:uid="{00000000-0002-0000-0700-000025010000}">
      <formula1>INDIRECT("LISTA_"&amp;$C$295)</formula1>
    </dataValidation>
    <dataValidation type="list" allowBlank="1" showErrorMessage="1" errorTitle="Item inválido" error="Primeiro selecione o TIPO, depois escolha o item" sqref="D296" xr:uid="{00000000-0002-0000-0700-000026010000}">
      <formula1>INDIRECT("LISTA_"&amp;$C$296)</formula1>
    </dataValidation>
    <dataValidation type="list" allowBlank="1" showErrorMessage="1" errorTitle="Item inválido" error="Primeiro selecione o TIPO, depois escolha o item" sqref="D297" xr:uid="{00000000-0002-0000-0700-000027010000}">
      <formula1>INDIRECT("LISTA_"&amp;$C$297)</formula1>
    </dataValidation>
    <dataValidation type="list" allowBlank="1" showErrorMessage="1" errorTitle="Item inválido" error="Primeiro selecione o TIPO, depois escolha o item" sqref="D298" xr:uid="{00000000-0002-0000-0700-000028010000}">
      <formula1>INDIRECT("LISTA_"&amp;$C$298)</formula1>
    </dataValidation>
    <dataValidation type="list" allowBlank="1" showErrorMessage="1" errorTitle="Item inválido" error="Primeiro selecione o TIPO, depois escolha o item" sqref="D299" xr:uid="{00000000-0002-0000-0700-000029010000}">
      <formula1>INDIRECT("LISTA_"&amp;$C$299)</formula1>
    </dataValidation>
    <dataValidation type="list" allowBlank="1" showErrorMessage="1" errorTitle="Item inválido" error="Primeiro selecione o TIPO, depois escolha o item" sqref="D300" xr:uid="{00000000-0002-0000-0700-00002A010000}">
      <formula1>INDIRECT("LISTA_"&amp;$C$300)</formula1>
    </dataValidation>
    <dataValidation type="list" allowBlank="1" showErrorMessage="1" errorTitle="Item inválido" error="Primeiro selecione o TIPO, depois escolha o item" sqref="D301" xr:uid="{00000000-0002-0000-0700-00002B010000}">
      <formula1>INDIRECT("LISTA_"&amp;$C$301)</formula1>
    </dataValidation>
    <dataValidation type="list" allowBlank="1" showErrorMessage="1" errorTitle="Item inválido" error="Primeiro selecione o TIPO, depois escolha o item" sqref="D302" xr:uid="{00000000-0002-0000-0700-00002C010000}">
      <formula1>INDIRECT("LISTA_"&amp;$C$302)</formula1>
    </dataValidation>
    <dataValidation type="list" allowBlank="1" showErrorMessage="1" errorTitle="Item inválido" error="Primeiro selecione o TIPO, depois escolha o item" sqref="D303" xr:uid="{00000000-0002-0000-0700-00002D010000}">
      <formula1>INDIRECT("LISTA_"&amp;$C$303)</formula1>
    </dataValidation>
    <dataValidation type="list" allowBlank="1" showErrorMessage="1" errorTitle="Item inválido" error="Primeiro selecione o TIPO, depois escolha o item" sqref="D304" xr:uid="{00000000-0002-0000-0700-00002E010000}">
      <formula1>INDIRECT("LISTA_"&amp;$C$304)</formula1>
    </dataValidation>
    <dataValidation type="list" allowBlank="1" showErrorMessage="1" errorTitle="Item inválido" error="Primeiro selecione o TIPO, depois escolha o item" sqref="D305" xr:uid="{00000000-0002-0000-0700-00002F010000}">
      <formula1>INDIRECT("LISTA_"&amp;$C$305)</formula1>
    </dataValidation>
    <dataValidation type="list" allowBlank="1" showErrorMessage="1" errorTitle="Item inválido" error="Primeiro selecione o TIPO, depois escolha o item" sqref="D306" xr:uid="{00000000-0002-0000-0700-000030010000}">
      <formula1>INDIRECT("LISTA_"&amp;$C$306)</formula1>
    </dataValidation>
    <dataValidation type="list" allowBlank="1" showErrorMessage="1" errorTitle="Item inválido" error="Primeiro selecione o TIPO, depois escolha o item" sqref="D307" xr:uid="{00000000-0002-0000-0700-000031010000}">
      <formula1>INDIRECT("LISTA_"&amp;$C$307)</formula1>
    </dataValidation>
    <dataValidation type="list" allowBlank="1" showErrorMessage="1" errorTitle="Item inválido" error="Primeiro selecione o TIPO, depois escolha o item" sqref="D308" xr:uid="{00000000-0002-0000-0700-000032010000}">
      <formula1>INDIRECT("LISTA_"&amp;$C$308)</formula1>
    </dataValidation>
    <dataValidation type="list" allowBlank="1" showErrorMessage="1" errorTitle="Item inválido" error="Primeiro selecione o TIPO, depois escolha o item" sqref="D309" xr:uid="{00000000-0002-0000-0700-000033010000}">
      <formula1>INDIRECT("LISTA_"&amp;$C$309)</formula1>
    </dataValidation>
    <dataValidation type="list" allowBlank="1" showErrorMessage="1" errorTitle="Item inválido" error="Primeiro selecione o TIPO, depois escolha o item" sqref="D310" xr:uid="{00000000-0002-0000-0700-000034010000}">
      <formula1>INDIRECT("LISTA_"&amp;$C$310)</formula1>
    </dataValidation>
    <dataValidation type="list" allowBlank="1" showErrorMessage="1" errorTitle="Item inválido" error="Primeiro selecione o TIPO, depois escolha o item" sqref="D311" xr:uid="{00000000-0002-0000-0700-000035010000}">
      <formula1>INDIRECT("LISTA_"&amp;$C$311)</formula1>
    </dataValidation>
    <dataValidation type="list" allowBlank="1" showErrorMessage="1" errorTitle="Item inválido" error="Primeiro selecione o TIPO, depois escolha o item" sqref="D312" xr:uid="{00000000-0002-0000-0700-000036010000}">
      <formula1>INDIRECT("LISTA_"&amp;$C$312)</formula1>
    </dataValidation>
    <dataValidation type="list" allowBlank="1" showErrorMessage="1" errorTitle="Item inválido" error="Primeiro selecione o TIPO, depois escolha o item" sqref="D313" xr:uid="{00000000-0002-0000-0700-000037010000}">
      <formula1>INDIRECT("LISTA_"&amp;$C$313)</formula1>
    </dataValidation>
    <dataValidation type="list" allowBlank="1" showErrorMessage="1" errorTitle="Item inválido" error="Primeiro selecione o TIPO, depois escolha o item" sqref="D314" xr:uid="{00000000-0002-0000-0700-000038010000}">
      <formula1>INDIRECT("LISTA_"&amp;$C$314)</formula1>
    </dataValidation>
    <dataValidation type="list" allowBlank="1" showErrorMessage="1" errorTitle="Item inválido" error="Primeiro selecione o TIPO, depois escolha o item" sqref="D315" xr:uid="{00000000-0002-0000-0700-000039010000}">
      <formula1>INDIRECT("LISTA_"&amp;$C$315)</formula1>
    </dataValidation>
    <dataValidation type="list" allowBlank="1" showErrorMessage="1" errorTitle="Item inválido" error="Primeiro selecione o TIPO, depois escolha o item" sqref="D316" xr:uid="{00000000-0002-0000-0700-00003A010000}">
      <formula1>INDIRECT("LISTA_"&amp;$C$316)</formula1>
    </dataValidation>
    <dataValidation type="list" allowBlank="1" showErrorMessage="1" errorTitle="Item inválido" error="Primeiro selecione o TIPO, depois escolha o item" sqref="D317" xr:uid="{00000000-0002-0000-0700-00003B010000}">
      <formula1>INDIRECT("LISTA_"&amp;$C$317)</formula1>
    </dataValidation>
    <dataValidation type="list" allowBlank="1" showErrorMessage="1" errorTitle="Item inválido" error="Primeiro selecione o TIPO, depois escolha o item" sqref="D318" xr:uid="{00000000-0002-0000-0700-00003C010000}">
      <formula1>INDIRECT("LISTA_"&amp;$C$318)</formula1>
    </dataValidation>
    <dataValidation type="list" allowBlank="1" showErrorMessage="1" errorTitle="Item inválido" error="Primeiro selecione o TIPO, depois escolha o item" sqref="D319" xr:uid="{00000000-0002-0000-0700-00003D010000}">
      <formula1>INDIRECT("LISTA_"&amp;$C$319)</formula1>
    </dataValidation>
    <dataValidation type="list" allowBlank="1" showErrorMessage="1" errorTitle="Item inválido" error="Primeiro selecione o TIPO, depois escolha o item" sqref="D320" xr:uid="{00000000-0002-0000-0700-00003E010000}">
      <formula1>INDIRECT("LISTA_"&amp;$C$320)</formula1>
    </dataValidation>
    <dataValidation type="list" allowBlank="1" showErrorMessage="1" errorTitle="Item inválido" error="Primeiro selecione o TIPO, depois escolha o item" sqref="D321" xr:uid="{00000000-0002-0000-0700-00003F010000}">
      <formula1>INDIRECT("LISTA_"&amp;$C$321)</formula1>
    </dataValidation>
    <dataValidation type="list" allowBlank="1" showErrorMessage="1" errorTitle="Item inválido" error="Primeiro selecione o TIPO, depois escolha o item" sqref="D322" xr:uid="{00000000-0002-0000-0700-000040010000}">
      <formula1>INDIRECT("LISTA_"&amp;$C$322)</formula1>
    </dataValidation>
    <dataValidation type="list" allowBlank="1" showErrorMessage="1" errorTitle="Item inválido" error="Primeiro selecione o TIPO, depois escolha o item" sqref="D323" xr:uid="{00000000-0002-0000-0700-000041010000}">
      <formula1>INDIRECT("LISTA_"&amp;$C$323)</formula1>
    </dataValidation>
    <dataValidation type="list" allowBlank="1" showErrorMessage="1" errorTitle="Item inválido" error="Primeiro selecione o TIPO, depois escolha o item" sqref="D324" xr:uid="{00000000-0002-0000-0700-000042010000}">
      <formula1>INDIRECT("LISTA_"&amp;$C$324)</formula1>
    </dataValidation>
    <dataValidation type="list" allowBlank="1" showErrorMessage="1" errorTitle="Item inválido" error="Primeiro selecione o TIPO, depois escolha o item" sqref="D325" xr:uid="{00000000-0002-0000-0700-000043010000}">
      <formula1>INDIRECT("LISTA_"&amp;$C$325)</formula1>
    </dataValidation>
    <dataValidation type="list" allowBlank="1" showErrorMessage="1" errorTitle="Item inválido" error="Primeiro selecione o TIPO, depois escolha o item" sqref="D326" xr:uid="{00000000-0002-0000-0700-000044010000}">
      <formula1>INDIRECT("LISTA_"&amp;$C$326)</formula1>
    </dataValidation>
    <dataValidation type="list" allowBlank="1" showErrorMessage="1" errorTitle="Item inválido" error="Primeiro selecione o TIPO, depois escolha o item" sqref="D327" xr:uid="{00000000-0002-0000-0700-000045010000}">
      <formula1>INDIRECT("LISTA_"&amp;$C$327)</formula1>
    </dataValidation>
    <dataValidation type="list" allowBlank="1" showErrorMessage="1" errorTitle="Item inválido" error="Primeiro selecione o TIPO, depois escolha o item" sqref="D328" xr:uid="{00000000-0002-0000-0700-000046010000}">
      <formula1>INDIRECT("LISTA_"&amp;$C$328)</formula1>
    </dataValidation>
    <dataValidation type="list" allowBlank="1" showErrorMessage="1" errorTitle="Item inválido" error="Primeiro selecione o TIPO, depois escolha o item" sqref="D329" xr:uid="{00000000-0002-0000-0700-000047010000}">
      <formula1>INDIRECT("LISTA_"&amp;$C$329)</formula1>
    </dataValidation>
    <dataValidation type="list" allowBlank="1" showErrorMessage="1" errorTitle="Item inválido" error="Primeiro selecione o TIPO, depois escolha o item" sqref="D330" xr:uid="{00000000-0002-0000-0700-000048010000}">
      <formula1>INDIRECT("LISTA_"&amp;$C$330)</formula1>
    </dataValidation>
    <dataValidation type="list" allowBlank="1" showErrorMessage="1" errorTitle="Item inválido" error="Primeiro selecione o TIPO, depois escolha o item" sqref="D331" xr:uid="{00000000-0002-0000-0700-000049010000}">
      <formula1>INDIRECT("LISTA_"&amp;$C$331)</formula1>
    </dataValidation>
    <dataValidation type="list" allowBlank="1" showErrorMessage="1" errorTitle="Item inválido" error="Primeiro selecione o TIPO, depois escolha o item" sqref="D332" xr:uid="{00000000-0002-0000-0700-00004A010000}">
      <formula1>INDIRECT("LISTA_"&amp;$C$332)</formula1>
    </dataValidation>
    <dataValidation type="list" allowBlank="1" showErrorMessage="1" errorTitle="Item inválido" error="Primeiro selecione o TIPO, depois escolha o item" sqref="D333" xr:uid="{00000000-0002-0000-0700-00004B010000}">
      <formula1>INDIRECT("LISTA_"&amp;$C$333)</formula1>
    </dataValidation>
    <dataValidation type="list" allowBlank="1" showErrorMessage="1" errorTitle="Item inválido" error="Primeiro selecione o TIPO, depois escolha o item" sqref="D334" xr:uid="{00000000-0002-0000-0700-00004C010000}">
      <formula1>INDIRECT("LISTA_"&amp;$C$334)</formula1>
    </dataValidation>
    <dataValidation type="list" allowBlank="1" showErrorMessage="1" errorTitle="Item inválido" error="Primeiro selecione o TIPO, depois escolha o item" sqref="D335" xr:uid="{00000000-0002-0000-0700-00004D010000}">
      <formula1>INDIRECT("LISTA_"&amp;$C$335)</formula1>
    </dataValidation>
    <dataValidation type="list" allowBlank="1" showErrorMessage="1" errorTitle="Item inválido" error="Primeiro selecione o TIPO, depois escolha o item" sqref="D336" xr:uid="{00000000-0002-0000-0700-00004E010000}">
      <formula1>INDIRECT("LISTA_"&amp;$C$336)</formula1>
    </dataValidation>
    <dataValidation type="list" allowBlank="1" showErrorMessage="1" errorTitle="Item inválido" error="Primeiro selecione o TIPO, depois escolha o item" sqref="D337" xr:uid="{00000000-0002-0000-0700-00004F010000}">
      <formula1>INDIRECT("LISTA_"&amp;$C$337)</formula1>
    </dataValidation>
    <dataValidation type="list" allowBlank="1" showErrorMessage="1" errorTitle="Item inválido" error="Primeiro selecione o TIPO, depois escolha o item" sqref="D338" xr:uid="{00000000-0002-0000-0700-000050010000}">
      <formula1>INDIRECT("LISTA_"&amp;$C$338)</formula1>
    </dataValidation>
    <dataValidation type="list" allowBlank="1" showErrorMessage="1" errorTitle="Item inválido" error="Primeiro selecione o TIPO, depois escolha o item" sqref="D339" xr:uid="{00000000-0002-0000-0700-000051010000}">
      <formula1>INDIRECT("LISTA_"&amp;$C$339)</formula1>
    </dataValidation>
    <dataValidation type="list" allowBlank="1" showErrorMessage="1" errorTitle="Item inválido" error="Primeiro selecione o TIPO, depois escolha o item" sqref="D340" xr:uid="{00000000-0002-0000-0700-000052010000}">
      <formula1>INDIRECT("LISTA_"&amp;$C$340)</formula1>
    </dataValidation>
    <dataValidation type="list" allowBlank="1" showErrorMessage="1" errorTitle="Item inválido" error="Primeiro selecione o TIPO, depois escolha o item" sqref="D341" xr:uid="{00000000-0002-0000-0700-000053010000}">
      <formula1>INDIRECT("LISTA_"&amp;$C$341)</formula1>
    </dataValidation>
    <dataValidation type="list" allowBlank="1" showErrorMessage="1" errorTitle="Item inválido" error="Primeiro selecione o TIPO, depois escolha o item" sqref="D342" xr:uid="{00000000-0002-0000-0700-000054010000}">
      <formula1>INDIRECT("LISTA_"&amp;$C$342)</formula1>
    </dataValidation>
    <dataValidation type="list" allowBlank="1" showErrorMessage="1" errorTitle="Item inválido" error="Primeiro selecione o TIPO, depois escolha o item" sqref="D343" xr:uid="{00000000-0002-0000-0700-000055010000}">
      <formula1>INDIRECT("LISTA_"&amp;$C$343)</formula1>
    </dataValidation>
    <dataValidation type="list" allowBlank="1" showErrorMessage="1" errorTitle="Item inválido" error="Primeiro selecione o TIPO, depois escolha o item" sqref="D344" xr:uid="{00000000-0002-0000-0700-000056010000}">
      <formula1>INDIRECT("LISTA_"&amp;$C$344)</formula1>
    </dataValidation>
    <dataValidation type="list" allowBlank="1" showErrorMessage="1" errorTitle="Item inválido" error="Primeiro selecione o TIPO, depois escolha o item" sqref="D345" xr:uid="{00000000-0002-0000-0700-000057010000}">
      <formula1>INDIRECT("LISTA_"&amp;$C$345)</formula1>
    </dataValidation>
    <dataValidation type="list" allowBlank="1" showErrorMessage="1" errorTitle="Item inválido" error="Primeiro selecione o TIPO, depois escolha o item" sqref="D346" xr:uid="{00000000-0002-0000-0700-000058010000}">
      <formula1>INDIRECT("LISTA_"&amp;$C$346)</formula1>
    </dataValidation>
    <dataValidation type="list" allowBlank="1" showErrorMessage="1" errorTitle="Item inválido" error="Primeiro selecione o TIPO, depois escolha o item" sqref="D347" xr:uid="{00000000-0002-0000-0700-000059010000}">
      <formula1>INDIRECT("LISTA_"&amp;$C$347)</formula1>
    </dataValidation>
    <dataValidation type="list" allowBlank="1" showErrorMessage="1" errorTitle="Item inválido" error="Primeiro selecione o TIPO, depois escolha o item" sqref="D348" xr:uid="{00000000-0002-0000-0700-00005A010000}">
      <formula1>INDIRECT("LISTA_"&amp;$C$348)</formula1>
    </dataValidation>
    <dataValidation type="list" allowBlank="1" showErrorMessage="1" errorTitle="Item inválido" error="Primeiro selecione o TIPO, depois escolha o item" sqref="D349" xr:uid="{00000000-0002-0000-0700-00005B010000}">
      <formula1>INDIRECT("LISTA_"&amp;$C$349)</formula1>
    </dataValidation>
    <dataValidation type="list" allowBlank="1" showErrorMessage="1" errorTitle="Item inválido" error="Primeiro selecione o TIPO, depois escolha o item" sqref="D350" xr:uid="{00000000-0002-0000-0700-00005C010000}">
      <formula1>INDIRECT("LISTA_"&amp;$C$350)</formula1>
    </dataValidation>
    <dataValidation type="list" allowBlank="1" showErrorMessage="1" errorTitle="Item inválido" error="Primeiro selecione o TIPO, depois escolha o item" sqref="D351" xr:uid="{00000000-0002-0000-0700-00005D010000}">
      <formula1>INDIRECT("LISTA_"&amp;$C$351)</formula1>
    </dataValidation>
    <dataValidation type="list" allowBlank="1" showErrorMessage="1" errorTitle="Item inválido" error="Primeiro selecione o TIPO, depois escolha o item" sqref="D352" xr:uid="{00000000-0002-0000-0700-00005E010000}">
      <formula1>INDIRECT("LISTA_"&amp;$C$352)</formula1>
    </dataValidation>
    <dataValidation type="list" allowBlank="1" showErrorMessage="1" errorTitle="Item inválido" error="Primeiro selecione o TIPO, depois escolha o item" sqref="D353" xr:uid="{00000000-0002-0000-0700-00005F010000}">
      <formula1>INDIRECT("LISTA_"&amp;$C$353)</formula1>
    </dataValidation>
    <dataValidation type="list" allowBlank="1" showErrorMessage="1" errorTitle="Item inválido" error="Primeiro selecione o TIPO, depois escolha o item" sqref="D354" xr:uid="{00000000-0002-0000-0700-000060010000}">
      <formula1>INDIRECT("LISTA_"&amp;$C$354)</formula1>
    </dataValidation>
    <dataValidation type="list" allowBlank="1" showErrorMessage="1" errorTitle="Item inválido" error="Primeiro selecione o TIPO, depois escolha o item" sqref="D355" xr:uid="{00000000-0002-0000-0700-000061010000}">
      <formula1>INDIRECT("LISTA_"&amp;$C$355)</formula1>
    </dataValidation>
    <dataValidation type="list" allowBlank="1" showErrorMessage="1" errorTitle="Item inválido" error="Primeiro selecione o TIPO, depois escolha o item" sqref="D356" xr:uid="{00000000-0002-0000-0700-000062010000}">
      <formula1>INDIRECT("LISTA_"&amp;$C$356)</formula1>
    </dataValidation>
    <dataValidation type="list" allowBlank="1" showErrorMessage="1" errorTitle="Item inválido" error="Primeiro selecione o TIPO, depois escolha o item" sqref="D357" xr:uid="{00000000-0002-0000-0700-000063010000}">
      <formula1>INDIRECT("LISTA_"&amp;$C$357)</formula1>
    </dataValidation>
    <dataValidation type="list" allowBlank="1" showErrorMessage="1" errorTitle="Item inválido" error="Primeiro selecione o TIPO, depois escolha o item" sqref="D358" xr:uid="{00000000-0002-0000-0700-000064010000}">
      <formula1>INDIRECT("LISTA_"&amp;$C$358)</formula1>
    </dataValidation>
    <dataValidation type="list" allowBlank="1" showErrorMessage="1" errorTitle="Item inválido" error="Primeiro selecione o TIPO, depois escolha o item" sqref="D359" xr:uid="{00000000-0002-0000-0700-000065010000}">
      <formula1>INDIRECT("LISTA_"&amp;$C$359)</formula1>
    </dataValidation>
    <dataValidation type="list" allowBlank="1" showErrorMessage="1" errorTitle="Item inválido" error="Primeiro selecione o TIPO, depois escolha o item" sqref="D360" xr:uid="{00000000-0002-0000-0700-000066010000}">
      <formula1>INDIRECT("LISTA_"&amp;$C$360)</formula1>
    </dataValidation>
    <dataValidation type="list" allowBlank="1" showErrorMessage="1" errorTitle="Item inválido" error="Primeiro selecione o TIPO, depois escolha o item" sqref="D361" xr:uid="{00000000-0002-0000-0700-000067010000}">
      <formula1>INDIRECT("LISTA_"&amp;$C$361)</formula1>
    </dataValidation>
    <dataValidation type="list" allowBlank="1" showErrorMessage="1" errorTitle="Item inválido" error="Primeiro selecione o TIPO, depois escolha o item" sqref="D362" xr:uid="{00000000-0002-0000-0700-000068010000}">
      <formula1>INDIRECT("LISTA_"&amp;$C$362)</formula1>
    </dataValidation>
    <dataValidation type="list" allowBlank="1" showErrorMessage="1" errorTitle="Item inválido" error="Primeiro selecione o TIPO, depois escolha o item" sqref="D363" xr:uid="{00000000-0002-0000-0700-000069010000}">
      <formula1>INDIRECT("LISTA_"&amp;$C$363)</formula1>
    </dataValidation>
    <dataValidation type="list" allowBlank="1" showErrorMessage="1" errorTitle="Item inválido" error="Primeiro selecione o TIPO, depois escolha o item" sqref="D364" xr:uid="{00000000-0002-0000-0700-00006A010000}">
      <formula1>INDIRECT("LISTA_"&amp;$C$364)</formula1>
    </dataValidation>
    <dataValidation type="list" allowBlank="1" showErrorMessage="1" errorTitle="Item inválido" error="Primeiro selecione o TIPO, depois escolha o item" sqref="D365" xr:uid="{00000000-0002-0000-0700-00006B010000}">
      <formula1>INDIRECT("LISTA_"&amp;$C$365)</formula1>
    </dataValidation>
    <dataValidation type="list" allowBlank="1" showErrorMessage="1" errorTitle="Item inválido" error="Primeiro selecione o TIPO, depois escolha o item" sqref="D366" xr:uid="{00000000-0002-0000-0700-00006C010000}">
      <formula1>INDIRECT("LISTA_"&amp;$C$366)</formula1>
    </dataValidation>
    <dataValidation type="list" allowBlank="1" showErrorMessage="1" errorTitle="Item inválido" error="Primeiro selecione o TIPO, depois escolha o item" sqref="D367" xr:uid="{00000000-0002-0000-0700-00006D010000}">
      <formula1>INDIRECT("LISTA_"&amp;$C$367)</formula1>
    </dataValidation>
    <dataValidation type="list" allowBlank="1" showErrorMessage="1" errorTitle="Item inválido" error="Primeiro selecione o TIPO, depois escolha o item" sqref="D368" xr:uid="{00000000-0002-0000-0700-00006E010000}">
      <formula1>INDIRECT("LISTA_"&amp;$C$368)</formula1>
    </dataValidation>
    <dataValidation type="list" allowBlank="1" showErrorMessage="1" errorTitle="Item inválido" error="Primeiro selecione o TIPO, depois escolha o item" sqref="D369" xr:uid="{00000000-0002-0000-0700-00006F010000}">
      <formula1>INDIRECT("LISTA_"&amp;$C$369)</formula1>
    </dataValidation>
    <dataValidation type="list" allowBlank="1" showErrorMessage="1" errorTitle="Item inválido" error="Primeiro selecione o TIPO, depois escolha o item" sqref="D370" xr:uid="{00000000-0002-0000-0700-000070010000}">
      <formula1>INDIRECT("LISTA_"&amp;$C$370)</formula1>
    </dataValidation>
    <dataValidation type="list" allowBlank="1" showErrorMessage="1" errorTitle="Item inválido" error="Primeiro selecione o TIPO, depois escolha o item" sqref="D371" xr:uid="{00000000-0002-0000-0700-000071010000}">
      <formula1>INDIRECT("LISTA_"&amp;$C$371)</formula1>
    </dataValidation>
    <dataValidation type="list" allowBlank="1" showErrorMessage="1" errorTitle="Item inválido" error="Primeiro selecione o TIPO, depois escolha o item" sqref="D372" xr:uid="{00000000-0002-0000-0700-000072010000}">
      <formula1>INDIRECT("LISTA_"&amp;$C$372)</formula1>
    </dataValidation>
    <dataValidation type="list" allowBlank="1" showErrorMessage="1" errorTitle="Item inválido" error="Primeiro selecione o TIPO, depois escolha o item" sqref="D373" xr:uid="{00000000-0002-0000-0700-000073010000}">
      <formula1>INDIRECT("LISTA_"&amp;$C$373)</formula1>
    </dataValidation>
    <dataValidation type="list" allowBlank="1" showErrorMessage="1" errorTitle="Item inválido" error="Primeiro selecione o TIPO, depois escolha o item" sqref="D374" xr:uid="{00000000-0002-0000-0700-000074010000}">
      <formula1>INDIRECT("LISTA_"&amp;$C$374)</formula1>
    </dataValidation>
    <dataValidation type="list" allowBlank="1" showErrorMessage="1" errorTitle="Item inválido" error="Primeiro selecione o TIPO, depois escolha o item" sqref="D375" xr:uid="{00000000-0002-0000-0700-000075010000}">
      <formula1>INDIRECT("LISTA_"&amp;$C$375)</formula1>
    </dataValidation>
    <dataValidation type="list" allowBlank="1" showErrorMessage="1" errorTitle="Item inválido" error="Primeiro selecione o TIPO, depois escolha o item" sqref="D376" xr:uid="{00000000-0002-0000-0700-000076010000}">
      <formula1>INDIRECT("LISTA_"&amp;$C$376)</formula1>
    </dataValidation>
    <dataValidation type="list" allowBlank="1" showErrorMessage="1" errorTitle="Item inválido" error="Primeiro selecione o TIPO, depois escolha o item" sqref="D377" xr:uid="{00000000-0002-0000-0700-000077010000}">
      <formula1>INDIRECT("LISTA_"&amp;$C$377)</formula1>
    </dataValidation>
    <dataValidation type="list" allowBlank="1" showErrorMessage="1" errorTitle="Item inválido" error="Primeiro selecione o TIPO, depois escolha o item" sqref="D378" xr:uid="{00000000-0002-0000-0700-000078010000}">
      <formula1>INDIRECT("LISTA_"&amp;$C$378)</formula1>
    </dataValidation>
    <dataValidation type="list" allowBlank="1" showErrorMessage="1" errorTitle="Item inválido" error="Primeiro selecione o TIPO, depois escolha o item" sqref="D379" xr:uid="{00000000-0002-0000-0700-000079010000}">
      <formula1>INDIRECT("LISTA_"&amp;$C$379)</formula1>
    </dataValidation>
    <dataValidation type="list" allowBlank="1" showErrorMessage="1" errorTitle="Item inválido" error="Primeiro selecione o TIPO, depois escolha o item" sqref="D380" xr:uid="{00000000-0002-0000-0700-00007A010000}">
      <formula1>INDIRECT("LISTA_"&amp;$C$380)</formula1>
    </dataValidation>
    <dataValidation type="list" allowBlank="1" showErrorMessage="1" errorTitle="Item inválido" error="Primeiro selecione o TIPO, depois escolha o item" sqref="D381" xr:uid="{00000000-0002-0000-0700-00007B010000}">
      <formula1>INDIRECT("LISTA_"&amp;$C$381)</formula1>
    </dataValidation>
    <dataValidation type="list" allowBlank="1" showErrorMessage="1" errorTitle="Item inválido" error="Primeiro selecione o TIPO, depois escolha o item" sqref="D382" xr:uid="{00000000-0002-0000-0700-00007C010000}">
      <formula1>INDIRECT("LISTA_"&amp;$C$382)</formula1>
    </dataValidation>
    <dataValidation type="list" allowBlank="1" showErrorMessage="1" errorTitle="Item inválido" error="Primeiro selecione o TIPO, depois escolha o item" sqref="D383" xr:uid="{00000000-0002-0000-0700-00007D010000}">
      <formula1>INDIRECT("LISTA_"&amp;$C$383)</formula1>
    </dataValidation>
    <dataValidation type="list" allowBlank="1" showErrorMessage="1" errorTitle="Item inválido" error="Primeiro selecione o TIPO, depois escolha o item" sqref="D384" xr:uid="{00000000-0002-0000-0700-00007E010000}">
      <formula1>INDIRECT("LISTA_"&amp;$C$384)</formula1>
    </dataValidation>
    <dataValidation type="list" allowBlank="1" showErrorMessage="1" errorTitle="Item inválido" error="Primeiro selecione o TIPO, depois escolha o item" sqref="D385" xr:uid="{00000000-0002-0000-0700-00007F010000}">
      <formula1>INDIRECT("LISTA_"&amp;$C$385)</formula1>
    </dataValidation>
    <dataValidation type="list" allowBlank="1" showErrorMessage="1" errorTitle="Item inválido" error="Primeiro selecione o TIPO, depois escolha o item" sqref="D386" xr:uid="{00000000-0002-0000-0700-000080010000}">
      <formula1>INDIRECT("LISTA_"&amp;$C$386)</formula1>
    </dataValidation>
    <dataValidation type="list" allowBlank="1" showErrorMessage="1" errorTitle="Item inválido" error="Primeiro selecione o TIPO, depois escolha o item" sqref="D387" xr:uid="{00000000-0002-0000-0700-000081010000}">
      <formula1>INDIRECT("LISTA_"&amp;$C$387)</formula1>
    </dataValidation>
    <dataValidation type="list" allowBlank="1" showErrorMessage="1" errorTitle="Item inválido" error="Primeiro selecione o TIPO, depois escolha o item" sqref="D388" xr:uid="{00000000-0002-0000-0700-000082010000}">
      <formula1>INDIRECT("LISTA_"&amp;$C$388)</formula1>
    </dataValidation>
    <dataValidation type="list" allowBlank="1" showErrorMessage="1" errorTitle="Item inválido" error="Primeiro selecione o TIPO, depois escolha o item" sqref="D389" xr:uid="{00000000-0002-0000-0700-000083010000}">
      <formula1>INDIRECT("LISTA_"&amp;$C$389)</formula1>
    </dataValidation>
    <dataValidation type="list" allowBlank="1" showErrorMessage="1" errorTitle="Item inválido" error="Primeiro selecione o TIPO, depois escolha o item" sqref="D390" xr:uid="{00000000-0002-0000-0700-000084010000}">
      <formula1>INDIRECT("LISTA_"&amp;$C$390)</formula1>
    </dataValidation>
    <dataValidation type="list" allowBlank="1" showErrorMessage="1" errorTitle="Item inválido" error="Primeiro selecione o TIPO, depois escolha o item" sqref="D391" xr:uid="{00000000-0002-0000-0700-000085010000}">
      <formula1>INDIRECT("LISTA_"&amp;$C$391)</formula1>
    </dataValidation>
    <dataValidation type="list" allowBlank="1" showErrorMessage="1" errorTitle="Item inválido" error="Primeiro selecione o TIPO, depois escolha o item" sqref="D392" xr:uid="{00000000-0002-0000-0700-000086010000}">
      <formula1>INDIRECT("LISTA_"&amp;$C$392)</formula1>
    </dataValidation>
    <dataValidation type="list" allowBlank="1" showErrorMessage="1" errorTitle="Item inválido" error="Primeiro selecione o TIPO, depois escolha o item" sqref="D393" xr:uid="{00000000-0002-0000-0700-000087010000}">
      <formula1>INDIRECT("LISTA_"&amp;$C$393)</formula1>
    </dataValidation>
    <dataValidation type="list" allowBlank="1" showErrorMessage="1" errorTitle="Item inválido" error="Primeiro selecione o TIPO, depois escolha o item" sqref="D394" xr:uid="{00000000-0002-0000-0700-000088010000}">
      <formula1>INDIRECT("LISTA_"&amp;$C$394)</formula1>
    </dataValidation>
    <dataValidation type="list" allowBlank="1" showErrorMessage="1" errorTitle="Item inválido" error="Primeiro selecione o TIPO, depois escolha o item" sqref="D395" xr:uid="{00000000-0002-0000-0700-000089010000}">
      <formula1>INDIRECT("LISTA_"&amp;$C$395)</formula1>
    </dataValidation>
    <dataValidation type="list" allowBlank="1" showErrorMessage="1" errorTitle="Item inválido" error="Primeiro selecione o TIPO, depois escolha o item" sqref="D396" xr:uid="{00000000-0002-0000-0700-00008A010000}">
      <formula1>INDIRECT("LISTA_"&amp;$C$396)</formula1>
    </dataValidation>
    <dataValidation type="list" allowBlank="1" showErrorMessage="1" errorTitle="Item inválido" error="Primeiro selecione o TIPO, depois escolha o item" sqref="D397" xr:uid="{00000000-0002-0000-0700-00008B010000}">
      <formula1>INDIRECT("LISTA_"&amp;$C$397)</formula1>
    </dataValidation>
    <dataValidation type="list" allowBlank="1" showErrorMessage="1" errorTitle="Item inválido" error="Primeiro selecione o TIPO, depois escolha o item" sqref="D398" xr:uid="{00000000-0002-0000-0700-00008C010000}">
      <formula1>INDIRECT("LISTA_"&amp;$C$398)</formula1>
    </dataValidation>
    <dataValidation type="list" allowBlank="1" showErrorMessage="1" errorTitle="Item inválido" error="Primeiro selecione o TIPO, depois escolha o item" sqref="D399" xr:uid="{00000000-0002-0000-0700-00008D010000}">
      <formula1>INDIRECT("LISTA_"&amp;$C$399)</formula1>
    </dataValidation>
    <dataValidation type="list" allowBlank="1" showErrorMessage="1" errorTitle="Item inválido" error="Primeiro selecione o TIPO, depois escolha o item" sqref="D400" xr:uid="{00000000-0002-0000-0700-00008E010000}">
      <formula1>INDIRECT("LISTA_"&amp;$C$400)</formula1>
    </dataValidation>
    <dataValidation type="list" allowBlank="1" showErrorMessage="1" errorTitle="Item inválido" error="Primeiro selecione o TIPO, depois escolha o item" sqref="D401" xr:uid="{00000000-0002-0000-0700-00008F010000}">
      <formula1>INDIRECT("LISTA_"&amp;$C$401)</formula1>
    </dataValidation>
    <dataValidation type="list" allowBlank="1" showErrorMessage="1" errorTitle="Item inválido" error="Primeiro selecione o TIPO, depois escolha o item" sqref="D402" xr:uid="{00000000-0002-0000-0700-000090010000}">
      <formula1>INDIRECT("LISTA_"&amp;$C$402)</formula1>
    </dataValidation>
    <dataValidation type="list" allowBlank="1" showErrorMessage="1" errorTitle="Item inválido" error="Primeiro selecione o TIPO, depois escolha o item" sqref="D403" xr:uid="{00000000-0002-0000-0700-000091010000}">
      <formula1>INDIRECT("LISTA_"&amp;$C$403)</formula1>
    </dataValidation>
    <dataValidation type="list" allowBlank="1" showErrorMessage="1" errorTitle="Item inválido" error="Primeiro selecione o TIPO, depois escolha o item" sqref="D404" xr:uid="{00000000-0002-0000-0700-000092010000}">
      <formula1>INDIRECT("LISTA_"&amp;$C$404)</formula1>
    </dataValidation>
    <dataValidation type="list" allowBlank="1" showErrorMessage="1" errorTitle="Item inválido" error="Primeiro selecione o TIPO, depois escolha o item" sqref="D405" xr:uid="{00000000-0002-0000-0700-000093010000}">
      <formula1>INDIRECT("LISTA_"&amp;$C$405)</formula1>
    </dataValidation>
    <dataValidation type="list" allowBlank="1" showErrorMessage="1" errorTitle="Item inválido" error="Primeiro selecione o TIPO, depois escolha o item" sqref="D406" xr:uid="{00000000-0002-0000-0700-000094010000}">
      <formula1>INDIRECT("LISTA_"&amp;$C$406)</formula1>
    </dataValidation>
    <dataValidation type="list" allowBlank="1" showErrorMessage="1" errorTitle="Item inválido" error="Primeiro selecione o TIPO, depois escolha o item" sqref="D407" xr:uid="{00000000-0002-0000-0700-000095010000}">
      <formula1>INDIRECT("LISTA_"&amp;$C$407)</formula1>
    </dataValidation>
    <dataValidation type="list" allowBlank="1" showErrorMessage="1" errorTitle="Item inválido" error="Primeiro selecione o TIPO, depois escolha o item" sqref="D408" xr:uid="{00000000-0002-0000-0700-000096010000}">
      <formula1>INDIRECT("LISTA_"&amp;$C$408)</formula1>
    </dataValidation>
    <dataValidation type="list" allowBlank="1" showErrorMessage="1" errorTitle="Item inválido" error="Primeiro selecione o TIPO, depois escolha o item" sqref="D409" xr:uid="{00000000-0002-0000-0700-000097010000}">
      <formula1>INDIRECT("LISTA_"&amp;$C$409)</formula1>
    </dataValidation>
    <dataValidation type="list" allowBlank="1" showErrorMessage="1" errorTitle="Item inválido" error="Primeiro selecione o TIPO, depois escolha o item" sqref="D410" xr:uid="{00000000-0002-0000-0700-000098010000}">
      <formula1>INDIRECT("LISTA_"&amp;$C$410)</formula1>
    </dataValidation>
    <dataValidation type="list" allowBlank="1" showErrorMessage="1" errorTitle="Item inválido" error="Primeiro selecione o TIPO, depois escolha o item" sqref="D411" xr:uid="{00000000-0002-0000-0700-000099010000}">
      <formula1>INDIRECT("LISTA_"&amp;$C$411)</formula1>
    </dataValidation>
    <dataValidation type="list" allowBlank="1" showErrorMessage="1" errorTitle="Item inválido" error="Primeiro selecione o TIPO, depois escolha o item" sqref="D412" xr:uid="{00000000-0002-0000-0700-00009A010000}">
      <formula1>INDIRECT("LISTA_"&amp;$C$412)</formula1>
    </dataValidation>
    <dataValidation type="list" allowBlank="1" showErrorMessage="1" errorTitle="Item inválido" error="Primeiro selecione o TIPO, depois escolha o item" sqref="D413" xr:uid="{00000000-0002-0000-0700-00009B010000}">
      <formula1>INDIRECT("LISTA_"&amp;$C$413)</formula1>
    </dataValidation>
    <dataValidation type="list" allowBlank="1" showErrorMessage="1" errorTitle="Item inválido" error="Primeiro selecione o TIPO, depois escolha o item" sqref="D414" xr:uid="{00000000-0002-0000-0700-00009C010000}">
      <formula1>INDIRECT("LISTA_"&amp;$C$414)</formula1>
    </dataValidation>
    <dataValidation type="list" allowBlank="1" showErrorMessage="1" errorTitle="Item inválido" error="Primeiro selecione o TIPO, depois escolha o item" sqref="D415" xr:uid="{00000000-0002-0000-0700-00009D010000}">
      <formula1>INDIRECT("LISTA_"&amp;$C$415)</formula1>
    </dataValidation>
    <dataValidation type="list" allowBlank="1" showErrorMessage="1" errorTitle="Item inválido" error="Primeiro selecione o TIPO, depois escolha o item" sqref="D416" xr:uid="{00000000-0002-0000-0700-00009E010000}">
      <formula1>INDIRECT("LISTA_"&amp;$C$416)</formula1>
    </dataValidation>
    <dataValidation type="list" allowBlank="1" showErrorMessage="1" errorTitle="Item inválido" error="Primeiro selecione o TIPO, depois escolha o item" sqref="D417" xr:uid="{00000000-0002-0000-0700-00009F010000}">
      <formula1>INDIRECT("LISTA_"&amp;$C$417)</formula1>
    </dataValidation>
    <dataValidation type="list" allowBlank="1" showErrorMessage="1" errorTitle="Item inválido" error="Primeiro selecione o TIPO, depois escolha o item" sqref="D418" xr:uid="{00000000-0002-0000-0700-0000A0010000}">
      <formula1>INDIRECT("LISTA_"&amp;$C$418)</formula1>
    </dataValidation>
    <dataValidation type="list" allowBlank="1" showErrorMessage="1" errorTitle="Item inválido" error="Primeiro selecione o TIPO, depois escolha o item" sqref="D419" xr:uid="{00000000-0002-0000-0700-0000A1010000}">
      <formula1>INDIRECT("LISTA_"&amp;$C$419)</formula1>
    </dataValidation>
    <dataValidation type="list" allowBlank="1" showErrorMessage="1" errorTitle="Item inválido" error="Primeiro selecione o TIPO, depois escolha o item" sqref="D420" xr:uid="{00000000-0002-0000-0700-0000A2010000}">
      <formula1>INDIRECT("LISTA_"&amp;$C$420)</formula1>
    </dataValidation>
    <dataValidation type="list" allowBlank="1" showErrorMessage="1" errorTitle="Item inválido" error="Primeiro selecione o TIPO, depois escolha o item" sqref="D421" xr:uid="{00000000-0002-0000-0700-0000A3010000}">
      <formula1>INDIRECT("LISTA_"&amp;$C$421)</formula1>
    </dataValidation>
    <dataValidation type="list" allowBlank="1" showErrorMessage="1" errorTitle="Item inválido" error="Primeiro selecione o TIPO, depois escolha o item" sqref="D422" xr:uid="{00000000-0002-0000-0700-0000A4010000}">
      <formula1>INDIRECT("LISTA_"&amp;$C$422)</formula1>
    </dataValidation>
    <dataValidation type="list" allowBlank="1" showErrorMessage="1" errorTitle="Item inválido" error="Primeiro selecione o TIPO, depois escolha o item" sqref="D423" xr:uid="{00000000-0002-0000-0700-0000A5010000}">
      <formula1>INDIRECT("LISTA_"&amp;$C$423)</formula1>
    </dataValidation>
    <dataValidation type="list" allowBlank="1" showErrorMessage="1" errorTitle="Item inválido" error="Primeiro selecione o TIPO, depois escolha o item" sqref="D424" xr:uid="{00000000-0002-0000-0700-0000A6010000}">
      <formula1>INDIRECT("LISTA_"&amp;$C$424)</formula1>
    </dataValidation>
    <dataValidation type="list" allowBlank="1" showErrorMessage="1" errorTitle="Item inválido" error="Primeiro selecione o TIPO, depois escolha o item" sqref="D425" xr:uid="{00000000-0002-0000-0700-0000A7010000}">
      <formula1>INDIRECT("LISTA_"&amp;$C$425)</formula1>
    </dataValidation>
    <dataValidation type="list" allowBlank="1" showErrorMessage="1" errorTitle="Item inválido" error="Primeiro selecione o TIPO, depois escolha o item" sqref="D426" xr:uid="{00000000-0002-0000-0700-0000A8010000}">
      <formula1>INDIRECT("LISTA_"&amp;$C$426)</formula1>
    </dataValidation>
    <dataValidation type="list" allowBlank="1" showErrorMessage="1" errorTitle="Item inválido" error="Primeiro selecione o TIPO, depois escolha o item" sqref="D427" xr:uid="{00000000-0002-0000-0700-0000A9010000}">
      <formula1>INDIRECT("LISTA_"&amp;$C$427)</formula1>
    </dataValidation>
    <dataValidation type="list" allowBlank="1" showErrorMessage="1" errorTitle="Item inválido" error="Primeiro selecione o TIPO, depois escolha o item" sqref="D428" xr:uid="{00000000-0002-0000-0700-0000AA010000}">
      <formula1>INDIRECT("LISTA_"&amp;$C$428)</formula1>
    </dataValidation>
    <dataValidation type="list" allowBlank="1" showErrorMessage="1" errorTitle="Item inválido" error="Primeiro selecione o TIPO, depois escolha o item" sqref="D429" xr:uid="{00000000-0002-0000-0700-0000AB010000}">
      <formula1>INDIRECT("LISTA_"&amp;$C$429)</formula1>
    </dataValidation>
    <dataValidation type="list" allowBlank="1" showErrorMessage="1" errorTitle="Item inválido" error="Primeiro selecione o TIPO, depois escolha o item" sqref="D430" xr:uid="{00000000-0002-0000-0700-0000AC010000}">
      <formula1>INDIRECT("LISTA_"&amp;$C$430)</formula1>
    </dataValidation>
    <dataValidation type="list" allowBlank="1" showErrorMessage="1" errorTitle="Item inválido" error="Primeiro selecione o TIPO, depois escolha o item" sqref="D431" xr:uid="{00000000-0002-0000-0700-0000AD010000}">
      <formula1>INDIRECT("LISTA_"&amp;$C$431)</formula1>
    </dataValidation>
    <dataValidation type="list" allowBlank="1" showErrorMessage="1" errorTitle="Item inválido" error="Primeiro selecione o TIPO, depois escolha o item" sqref="D432" xr:uid="{00000000-0002-0000-0700-0000AE010000}">
      <formula1>INDIRECT("LISTA_"&amp;$C$432)</formula1>
    </dataValidation>
    <dataValidation type="list" allowBlank="1" showErrorMessage="1" errorTitle="Item inválido" error="Primeiro selecione o TIPO, depois escolha o item" sqref="D433" xr:uid="{00000000-0002-0000-0700-0000AF010000}">
      <formula1>INDIRECT("LISTA_"&amp;$C$433)</formula1>
    </dataValidation>
    <dataValidation type="list" allowBlank="1" showErrorMessage="1" errorTitle="Item inválido" error="Primeiro selecione o TIPO, depois escolha o item" sqref="D434" xr:uid="{00000000-0002-0000-0700-0000B0010000}">
      <formula1>INDIRECT("LISTA_"&amp;$C$434)</formula1>
    </dataValidation>
    <dataValidation type="list" allowBlank="1" showErrorMessage="1" errorTitle="Item inválido" error="Primeiro selecione o TIPO, depois escolha o item" sqref="D435" xr:uid="{00000000-0002-0000-0700-0000B1010000}">
      <formula1>INDIRECT("LISTA_"&amp;$C$435)</formula1>
    </dataValidation>
    <dataValidation type="list" allowBlank="1" showErrorMessage="1" errorTitle="Item inválido" error="Primeiro selecione o TIPO, depois escolha o item" sqref="D436" xr:uid="{00000000-0002-0000-0700-0000B2010000}">
      <formula1>INDIRECT("LISTA_"&amp;$C$436)</formula1>
    </dataValidation>
    <dataValidation type="list" allowBlank="1" errorTitle="Tipo inválido" error="Selecione um tipo válido" sqref="C2:C436" xr:uid="{00000000-0002-0000-0700-0000B3010000}">
      <formula1>"MAT,MO,FER,EQP"</formula1>
    </dataValidation>
  </dataValidations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H51"/>
  <sheetViews>
    <sheetView tabSelected="1" workbookViewId="0">
      <pane ySplit="9" topLeftCell="A10" activePane="bottomLeft" state="frozen"/>
      <selection pane="bottomLeft" activeCell="K21" sqref="K21"/>
    </sheetView>
  </sheetViews>
  <sheetFormatPr defaultRowHeight="15" x14ac:dyDescent="0.25"/>
  <cols>
    <col min="1" max="1" width="12.85546875" bestFit="1" customWidth="1"/>
    <col min="2" max="2" width="6.42578125" bestFit="1" customWidth="1"/>
    <col min="3" max="3" width="38" customWidth="1"/>
    <col min="4" max="4" width="68.85546875" customWidth="1"/>
    <col min="5" max="5" width="8" customWidth="1"/>
    <col min="6" max="6" width="10" customWidth="1"/>
    <col min="7" max="8" width="14" customWidth="1"/>
  </cols>
  <sheetData>
    <row r="1" spans="1:8" ht="21" customHeight="1" x14ac:dyDescent="0.35">
      <c r="A1" s="123" t="s">
        <v>434</v>
      </c>
      <c r="B1" s="124"/>
      <c r="C1" s="124"/>
      <c r="D1" s="124"/>
      <c r="E1" s="124"/>
      <c r="F1" s="124"/>
      <c r="G1" s="124"/>
      <c r="H1" s="124"/>
    </row>
    <row r="3" spans="1:8" x14ac:dyDescent="0.25">
      <c r="A3" s="13" t="s">
        <v>435</v>
      </c>
      <c r="B3" s="136"/>
      <c r="C3" s="126"/>
      <c r="D3" s="126"/>
      <c r="E3" s="127"/>
    </row>
    <row r="4" spans="1:8" x14ac:dyDescent="0.25">
      <c r="A4" s="13" t="s">
        <v>436</v>
      </c>
      <c r="B4" s="136"/>
      <c r="C4" s="126"/>
      <c r="D4" s="126"/>
      <c r="E4" s="127"/>
    </row>
    <row r="5" spans="1:8" x14ac:dyDescent="0.25">
      <c r="A5" s="13" t="s">
        <v>437</v>
      </c>
      <c r="B5" s="14"/>
      <c r="C5" s="13" t="s">
        <v>438</v>
      </c>
      <c r="D5" s="14"/>
    </row>
    <row r="6" spans="1:8" x14ac:dyDescent="0.25">
      <c r="A6" s="13" t="s">
        <v>439</v>
      </c>
      <c r="B6" s="136"/>
      <c r="C6" s="127"/>
      <c r="D6" s="13" t="s">
        <v>440</v>
      </c>
      <c r="E6" s="136"/>
      <c r="F6" s="127"/>
    </row>
    <row r="9" spans="1:8" x14ac:dyDescent="0.25">
      <c r="A9" s="94" t="s">
        <v>441</v>
      </c>
      <c r="B9" s="94" t="s">
        <v>2</v>
      </c>
      <c r="C9" s="94" t="s">
        <v>442</v>
      </c>
      <c r="D9" s="94" t="s">
        <v>166</v>
      </c>
      <c r="E9" s="94" t="s">
        <v>443</v>
      </c>
      <c r="F9" s="94" t="s">
        <v>444</v>
      </c>
      <c r="G9" s="94" t="s">
        <v>445</v>
      </c>
      <c r="H9" s="94" t="s">
        <v>446</v>
      </c>
    </row>
    <row r="10" spans="1:8" x14ac:dyDescent="0.25">
      <c r="A10" s="63">
        <v>1</v>
      </c>
      <c r="B10" s="71" t="s">
        <v>454</v>
      </c>
      <c r="C10" s="95" t="s">
        <v>455</v>
      </c>
      <c r="D10" s="96" t="str" cm="1">
        <f t="array" ref="D10:D39">_xlfn.LET(_xlpm.n,30,_xlpm.linhas,_xlfn.SEQUENCE(_xlpm.n,,10),_xlpm.tipos,B10:B39,_xlpm.codigos,C10:C39,_xlpm.vars,F10:F39,_xlfn.MAP(_xlpm.tipos,_xlpm.codigos,_xlpm.vars,_xlfn.LAMBDA(_xlpm.tp,_xlpm.cd,_xlpm.vr,IF(OR(_xlpm.tp="",_xlpm.cd=""),"",IF(_xlpm.tp="COMP",_xlfn.LET(_xlpm.cod,IFERROR(LEFT(_xlpm.cd,FIND(" - ",_xlpm.cd)-1),_xlpm.cd),_xlpm.lin,MATCH(_xlpm.cod,COMPOSICOES!$A:$A,0),_xlpm.desc,INDEX(COMPOSICOES!$B:$B,_xlpm.lin),_xlpm.pre,INDEX(COMPOSICOES!$P:$P,_xlpm.lin),_xlpm.pos,INDEX(COMPOSICOES!$Q:$Q,_xlpm.lin),IF(OR(_xlpm.pre="",_xlpm.vr=""),_xlpm.desc,_xlpm.pre&amp;_xlpm.vr&amp;IF(_xlpm.vr=1," metro"," metros")&amp;_xlpm.pos)),_xlfn.LET(_xlpm.cod,IFERROR(LEFT(_xlpm.cd,FIND(" - ",_xlpm.cd)-1),_xlpm.cd),IFERROR(CHOOSE(MATCH(_xlpm.tp,{"MAT";"MO";"FER";"EQP"},0),_xlfn.XLOOKUP(_xlpm.cod,MATERIAIS!$A:$A,MATERIAIS!$C:$C),_xlfn.XLOOKUP(_xlpm.cod,MAO_DE_OBRA!$A:$A,MAO_DE_OBRA!$C:$C),_xlfn.XLOOKUP(_xlpm.cod,FERRAMENTAS!$A:$A,FERRAMENTAS!$C:$C),_xlfn.XLOOKUP(_xlpm.cod,EQUIPAMENTOS!$A:$A,EQUIPAMENTOS!$C:$C)),"")))))))</f>
        <v>Instalação Split 9.000 BTUs com 1 metro de linha frigorígena</v>
      </c>
      <c r="E10" s="73">
        <v>1</v>
      </c>
      <c r="F10" s="73">
        <v>1</v>
      </c>
      <c r="G10" s="64" cm="1">
        <f t="array" ref="G10:G39">_xlfn.LET(_xlpm.n,30,_xlpm.tipos,B10:B39,_xlpm.codigos,C10:C39,_xlpm.vars,F10:F39,_xlpm.tab_tipo,NEGOCIO!$A$42:$A$45,_xlpm.tab_mult,NEGOCIO!$B$42:$B$45,_xlfn.MAP(_xlpm.tipos,_xlpm.codigos,_xlpm.vars,_xlfn.LAMBDA(_xlpm.tp,_xlpm.cd,_xlpm.vr,IF(OR(_xlpm.tp="",_xlpm.cd=""),"",IF(_xlpm.tp="COMP",_xlfn.LET(_xlpm.cod,IFERROR(LEFT(_xlpm.cd,FIND(" - ",_xlpm.cd)-1),_xlpm.cd),_xlpm.lin,MATCH(_xlpm.cod,COMPOSICOES!$A:$A,0),_xlpm.base,INDEX(COMPOSICOES!$M:$M,_xlpm.lin),_xlpm.var,INDEX(COMPOSICOES!$N:$N,_xlpm.lin),_xlpm.base+_xlpm.var*IF(_xlpm.vr="",0,_xlpm.vr)),_xlfn.LET(_xlpm.cod,IFERROR(LEFT(_xlpm.cd,FIND(" - ",_xlpm.cd)-1),_xlpm.cd),_xlpm.mult,_xlfn.XLOOKUP(_xlpm.tp,_xlpm.tab_tipo,_xlpm.tab_mult,1),IFERROR(CHOOSE(MATCH(_xlpm.tp,{"MAT";"MO";"FER";"EQP"},0),_xlfn.XLOOKUP(_xlpm.cod,MATERIAIS!$A:$A,MATERIAIS!$E:$E),_xlfn.XLOOKUP(_xlpm.cod,MAO_DE_OBRA!$A:$A,MAO_DE_OBRA!$E:$E),_xlfn.XLOOKUP(_xlpm.cod,FERRAMENTAS!$A:$A,FERRAMENTAS!$F:$F),_xlfn.XLOOKUP(_xlpm.cod,EQUIPAMENTOS!$A:$A,EQUIPAMENTOS!$F:$F))*_xlpm.mult,"")))))))</f>
        <v>576.02583333333337</v>
      </c>
      <c r="H10" s="64">
        <f t="shared" ref="H10:H39" si="0">IF(OR(E10="",G10=""),"",E10*G10)</f>
        <v>576.02583333333337</v>
      </c>
    </row>
    <row r="11" spans="1:8" x14ac:dyDescent="0.25">
      <c r="A11" s="63">
        <v>2</v>
      </c>
      <c r="B11" s="71" t="s">
        <v>454</v>
      </c>
      <c r="C11" s="95" t="s">
        <v>456</v>
      </c>
      <c r="D11" s="96" t="str">
        <v>Dreno mangueira cristal com 1 metro</v>
      </c>
      <c r="E11" s="73">
        <v>1</v>
      </c>
      <c r="F11" s="73">
        <v>1</v>
      </c>
      <c r="G11" s="64">
        <v>40.942500000000003</v>
      </c>
      <c r="H11" s="64">
        <f t="shared" si="0"/>
        <v>40.942500000000003</v>
      </c>
    </row>
    <row r="12" spans="1:8" x14ac:dyDescent="0.25">
      <c r="A12" s="63">
        <v>3</v>
      </c>
      <c r="B12" s="71" t="s">
        <v>454</v>
      </c>
      <c r="C12" s="95" t="s">
        <v>460</v>
      </c>
      <c r="D12" s="96" t="str">
        <v>Instalação Split 12.000 BTUs com 10 metros de linha frigorígena</v>
      </c>
      <c r="E12" s="73">
        <v>1</v>
      </c>
      <c r="F12" s="73">
        <v>10</v>
      </c>
      <c r="G12" s="64">
        <v>1675.8033333333333</v>
      </c>
      <c r="H12" s="64">
        <f t="shared" si="0"/>
        <v>1675.8033333333333</v>
      </c>
    </row>
    <row r="13" spans="1:8" x14ac:dyDescent="0.25">
      <c r="A13" s="63">
        <v>4</v>
      </c>
      <c r="B13" s="71" t="s">
        <v>97</v>
      </c>
      <c r="C13" s="95" t="s">
        <v>461</v>
      </c>
      <c r="D13" s="96" t="str">
        <v>Split Hi-Wall Inverter 9.000 BTUs</v>
      </c>
      <c r="E13" s="73">
        <v>1</v>
      </c>
      <c r="F13" s="73"/>
      <c r="G13" s="64">
        <v>2160</v>
      </c>
      <c r="H13" s="64">
        <f t="shared" si="0"/>
        <v>2160</v>
      </c>
    </row>
    <row r="14" spans="1:8" x14ac:dyDescent="0.25">
      <c r="A14" s="63">
        <v>5</v>
      </c>
      <c r="B14" s="71" t="s">
        <v>97</v>
      </c>
      <c r="C14" s="95" t="s">
        <v>462</v>
      </c>
      <c r="D14" s="96" t="str">
        <v>Split Hi-Wall Inverter 12.000 BTUs</v>
      </c>
      <c r="E14" s="73">
        <v>1</v>
      </c>
      <c r="F14" s="73"/>
      <c r="G14" s="64">
        <v>2640</v>
      </c>
      <c r="H14" s="64">
        <f t="shared" si="0"/>
        <v>2640</v>
      </c>
    </row>
    <row r="15" spans="1:8" x14ac:dyDescent="0.25">
      <c r="A15" s="63">
        <v>6</v>
      </c>
      <c r="B15" s="71" t="s">
        <v>454</v>
      </c>
      <c r="C15" s="95" t="s">
        <v>468</v>
      </c>
      <c r="D15" s="96" t="str">
        <v>Instalação Split 18.000 BTUs com2 metrosde linha frigorígena</v>
      </c>
      <c r="E15" s="73"/>
      <c r="F15" s="73">
        <v>2</v>
      </c>
      <c r="G15" s="64">
        <v>698.22333333333336</v>
      </c>
      <c r="H15" s="64" t="str">
        <f t="shared" si="0"/>
        <v/>
      </c>
    </row>
    <row r="16" spans="1:8" x14ac:dyDescent="0.25">
      <c r="A16" s="63">
        <v>7</v>
      </c>
      <c r="B16" s="71" t="s">
        <v>454</v>
      </c>
      <c r="C16" s="95"/>
      <c r="D16" s="96" t="str">
        <v/>
      </c>
      <c r="E16" s="73"/>
      <c r="F16" s="73"/>
      <c r="G16" s="64" t="str">
        <v/>
      </c>
      <c r="H16" s="64" t="str">
        <f t="shared" si="0"/>
        <v/>
      </c>
    </row>
    <row r="17" spans="1:8" x14ac:dyDescent="0.25">
      <c r="A17" s="63">
        <v>8</v>
      </c>
      <c r="B17" s="71"/>
      <c r="C17" s="95"/>
      <c r="D17" s="96" t="str">
        <v/>
      </c>
      <c r="E17" s="73"/>
      <c r="F17" s="73"/>
      <c r="G17" s="64" t="str">
        <v/>
      </c>
      <c r="H17" s="64" t="str">
        <f t="shared" si="0"/>
        <v/>
      </c>
    </row>
    <row r="18" spans="1:8" x14ac:dyDescent="0.25">
      <c r="A18" s="63">
        <v>9</v>
      </c>
      <c r="B18" s="71"/>
      <c r="C18" s="95"/>
      <c r="D18" s="96" t="str">
        <v/>
      </c>
      <c r="E18" s="73"/>
      <c r="F18" s="73"/>
      <c r="G18" s="64" t="str">
        <v/>
      </c>
      <c r="H18" s="64" t="str">
        <f t="shared" si="0"/>
        <v/>
      </c>
    </row>
    <row r="19" spans="1:8" x14ac:dyDescent="0.25">
      <c r="A19" s="63">
        <v>10</v>
      </c>
      <c r="B19" s="71"/>
      <c r="C19" s="95"/>
      <c r="D19" s="96" t="str">
        <v/>
      </c>
      <c r="E19" s="73"/>
      <c r="F19" s="73"/>
      <c r="G19" s="64" t="str">
        <v/>
      </c>
      <c r="H19" s="64" t="str">
        <f t="shared" si="0"/>
        <v/>
      </c>
    </row>
    <row r="20" spans="1:8" x14ac:dyDescent="0.25">
      <c r="A20" s="63">
        <v>11</v>
      </c>
      <c r="B20" s="71"/>
      <c r="C20" s="95"/>
      <c r="D20" s="96" t="str">
        <v/>
      </c>
      <c r="E20" s="73"/>
      <c r="F20" s="73"/>
      <c r="G20" s="64" t="str">
        <v/>
      </c>
      <c r="H20" s="64" t="str">
        <f t="shared" si="0"/>
        <v/>
      </c>
    </row>
    <row r="21" spans="1:8" x14ac:dyDescent="0.25">
      <c r="A21" s="63">
        <v>12</v>
      </c>
      <c r="B21" s="71"/>
      <c r="C21" s="95"/>
      <c r="D21" s="96" t="str">
        <v/>
      </c>
      <c r="E21" s="73"/>
      <c r="F21" s="73"/>
      <c r="G21" s="64" t="str">
        <v/>
      </c>
      <c r="H21" s="64" t="str">
        <f t="shared" si="0"/>
        <v/>
      </c>
    </row>
    <row r="22" spans="1:8" x14ac:dyDescent="0.25">
      <c r="A22" s="63">
        <v>13</v>
      </c>
      <c r="B22" s="71"/>
      <c r="C22" s="95"/>
      <c r="D22" s="96" t="str">
        <v/>
      </c>
      <c r="E22" s="73"/>
      <c r="F22" s="73"/>
      <c r="G22" s="64" t="str">
        <v/>
      </c>
      <c r="H22" s="64" t="str">
        <f t="shared" si="0"/>
        <v/>
      </c>
    </row>
    <row r="23" spans="1:8" x14ac:dyDescent="0.25">
      <c r="A23" s="63">
        <v>14</v>
      </c>
      <c r="B23" s="71"/>
      <c r="C23" s="95"/>
      <c r="D23" s="96" t="str">
        <v/>
      </c>
      <c r="E23" s="73"/>
      <c r="F23" s="73"/>
      <c r="G23" s="64" t="str">
        <v/>
      </c>
      <c r="H23" s="64" t="str">
        <f t="shared" si="0"/>
        <v/>
      </c>
    </row>
    <row r="24" spans="1:8" x14ac:dyDescent="0.25">
      <c r="A24" s="63">
        <v>15</v>
      </c>
      <c r="B24" s="71"/>
      <c r="C24" s="95"/>
      <c r="D24" s="96" t="str">
        <v/>
      </c>
      <c r="E24" s="73"/>
      <c r="F24" s="73"/>
      <c r="G24" s="64" t="str">
        <v/>
      </c>
      <c r="H24" s="64" t="str">
        <f t="shared" si="0"/>
        <v/>
      </c>
    </row>
    <row r="25" spans="1:8" x14ac:dyDescent="0.25">
      <c r="A25" s="63">
        <v>16</v>
      </c>
      <c r="B25" s="71"/>
      <c r="C25" s="95"/>
      <c r="D25" s="96" t="str">
        <v/>
      </c>
      <c r="E25" s="73"/>
      <c r="F25" s="73"/>
      <c r="G25" s="64" t="str">
        <v/>
      </c>
      <c r="H25" s="64" t="str">
        <f t="shared" si="0"/>
        <v/>
      </c>
    </row>
    <row r="26" spans="1:8" x14ac:dyDescent="0.25">
      <c r="A26" s="63">
        <v>17</v>
      </c>
      <c r="B26" s="71"/>
      <c r="C26" s="95"/>
      <c r="D26" s="96" t="str">
        <v/>
      </c>
      <c r="E26" s="73"/>
      <c r="F26" s="73"/>
      <c r="G26" s="64" t="str">
        <v/>
      </c>
      <c r="H26" s="64" t="str">
        <f t="shared" si="0"/>
        <v/>
      </c>
    </row>
    <row r="27" spans="1:8" x14ac:dyDescent="0.25">
      <c r="A27" s="63">
        <v>18</v>
      </c>
      <c r="B27" s="71"/>
      <c r="C27" s="95"/>
      <c r="D27" s="96" t="str">
        <v/>
      </c>
      <c r="E27" s="73"/>
      <c r="F27" s="73"/>
      <c r="G27" s="64" t="str">
        <v/>
      </c>
      <c r="H27" s="64" t="str">
        <f t="shared" si="0"/>
        <v/>
      </c>
    </row>
    <row r="28" spans="1:8" x14ac:dyDescent="0.25">
      <c r="A28" s="63">
        <v>19</v>
      </c>
      <c r="B28" s="71"/>
      <c r="C28" s="95"/>
      <c r="D28" s="96" t="str">
        <v/>
      </c>
      <c r="E28" s="73"/>
      <c r="F28" s="73"/>
      <c r="G28" s="64" t="str">
        <v/>
      </c>
      <c r="H28" s="64" t="str">
        <f t="shared" si="0"/>
        <v/>
      </c>
    </row>
    <row r="29" spans="1:8" x14ac:dyDescent="0.25">
      <c r="A29" s="63">
        <v>20</v>
      </c>
      <c r="B29" s="71"/>
      <c r="C29" s="95"/>
      <c r="D29" s="96" t="str">
        <v/>
      </c>
      <c r="E29" s="73"/>
      <c r="F29" s="73"/>
      <c r="G29" s="64" t="str">
        <v/>
      </c>
      <c r="H29" s="64" t="str">
        <f t="shared" si="0"/>
        <v/>
      </c>
    </row>
    <row r="30" spans="1:8" x14ac:dyDescent="0.25">
      <c r="A30" s="63">
        <v>21</v>
      </c>
      <c r="B30" s="71"/>
      <c r="C30" s="95"/>
      <c r="D30" s="96" t="str">
        <v/>
      </c>
      <c r="E30" s="73"/>
      <c r="F30" s="73"/>
      <c r="G30" s="64" t="str">
        <v/>
      </c>
      <c r="H30" s="64" t="str">
        <f t="shared" si="0"/>
        <v/>
      </c>
    </row>
    <row r="31" spans="1:8" x14ac:dyDescent="0.25">
      <c r="A31" s="63">
        <v>22</v>
      </c>
      <c r="B31" s="71"/>
      <c r="C31" s="95"/>
      <c r="D31" s="96" t="str">
        <v/>
      </c>
      <c r="E31" s="73"/>
      <c r="F31" s="73"/>
      <c r="G31" s="64" t="str">
        <v/>
      </c>
      <c r="H31" s="64" t="str">
        <f t="shared" si="0"/>
        <v/>
      </c>
    </row>
    <row r="32" spans="1:8" x14ac:dyDescent="0.25">
      <c r="A32" s="63">
        <v>23</v>
      </c>
      <c r="B32" s="71"/>
      <c r="C32" s="95"/>
      <c r="D32" s="96" t="str">
        <v/>
      </c>
      <c r="E32" s="73"/>
      <c r="F32" s="73"/>
      <c r="G32" s="64" t="str">
        <v/>
      </c>
      <c r="H32" s="64" t="str">
        <f t="shared" si="0"/>
        <v/>
      </c>
    </row>
    <row r="33" spans="1:8" x14ac:dyDescent="0.25">
      <c r="A33" s="63">
        <v>24</v>
      </c>
      <c r="B33" s="71"/>
      <c r="C33" s="95"/>
      <c r="D33" s="96" t="str">
        <v/>
      </c>
      <c r="E33" s="73"/>
      <c r="F33" s="73"/>
      <c r="G33" s="64" t="str">
        <v/>
      </c>
      <c r="H33" s="64" t="str">
        <f t="shared" si="0"/>
        <v/>
      </c>
    </row>
    <row r="34" spans="1:8" x14ac:dyDescent="0.25">
      <c r="A34" s="63">
        <v>25</v>
      </c>
      <c r="B34" s="71"/>
      <c r="C34" s="95"/>
      <c r="D34" s="96" t="str">
        <v/>
      </c>
      <c r="E34" s="73"/>
      <c r="F34" s="73"/>
      <c r="G34" s="64" t="str">
        <v/>
      </c>
      <c r="H34" s="64" t="str">
        <f t="shared" si="0"/>
        <v/>
      </c>
    </row>
    <row r="35" spans="1:8" x14ac:dyDescent="0.25">
      <c r="A35" s="63">
        <v>26</v>
      </c>
      <c r="B35" s="71"/>
      <c r="C35" s="95"/>
      <c r="D35" s="96" t="str">
        <v/>
      </c>
      <c r="E35" s="73"/>
      <c r="F35" s="73"/>
      <c r="G35" s="64" t="str">
        <v/>
      </c>
      <c r="H35" s="64" t="str">
        <f t="shared" si="0"/>
        <v/>
      </c>
    </row>
    <row r="36" spans="1:8" x14ac:dyDescent="0.25">
      <c r="A36" s="63">
        <v>27</v>
      </c>
      <c r="B36" s="71"/>
      <c r="C36" s="95"/>
      <c r="D36" s="96" t="str">
        <v/>
      </c>
      <c r="E36" s="73"/>
      <c r="F36" s="73"/>
      <c r="G36" s="64" t="str">
        <v/>
      </c>
      <c r="H36" s="64" t="str">
        <f t="shared" si="0"/>
        <v/>
      </c>
    </row>
    <row r="37" spans="1:8" x14ac:dyDescent="0.25">
      <c r="A37" s="63">
        <v>28</v>
      </c>
      <c r="B37" s="71"/>
      <c r="C37" s="95"/>
      <c r="D37" s="96" t="str">
        <v/>
      </c>
      <c r="E37" s="73"/>
      <c r="F37" s="73"/>
      <c r="G37" s="64" t="str">
        <v/>
      </c>
      <c r="H37" s="64" t="str">
        <f t="shared" si="0"/>
        <v/>
      </c>
    </row>
    <row r="38" spans="1:8" x14ac:dyDescent="0.25">
      <c r="A38" s="63">
        <v>29</v>
      </c>
      <c r="B38" s="71"/>
      <c r="C38" s="95"/>
      <c r="D38" s="96" t="str">
        <v/>
      </c>
      <c r="E38" s="73"/>
      <c r="F38" s="73"/>
      <c r="G38" s="64" t="str">
        <v/>
      </c>
      <c r="H38" s="64" t="str">
        <f t="shared" si="0"/>
        <v/>
      </c>
    </row>
    <row r="39" spans="1:8" x14ac:dyDescent="0.25">
      <c r="A39" s="63">
        <v>30</v>
      </c>
      <c r="B39" s="71"/>
      <c r="C39" s="95"/>
      <c r="D39" s="96" t="str">
        <v/>
      </c>
      <c r="E39" s="73"/>
      <c r="F39" s="73"/>
      <c r="G39" s="64" t="str">
        <v/>
      </c>
      <c r="H39" s="64" t="str">
        <f t="shared" si="0"/>
        <v/>
      </c>
    </row>
    <row r="41" spans="1:8" x14ac:dyDescent="0.25">
      <c r="A41" s="125" t="s">
        <v>447</v>
      </c>
      <c r="B41" s="126"/>
      <c r="C41" s="126"/>
      <c r="D41" s="126"/>
      <c r="E41" s="126"/>
      <c r="F41" s="127"/>
      <c r="G41" s="36"/>
      <c r="H41" s="97">
        <f>SUM(H10:H39)</f>
        <v>7092.7716666666665</v>
      </c>
    </row>
    <row r="42" spans="1:8" x14ac:dyDescent="0.25">
      <c r="A42" s="137" t="s">
        <v>448</v>
      </c>
      <c r="B42" s="126"/>
      <c r="C42" s="126"/>
      <c r="D42" s="126"/>
      <c r="E42" s="126"/>
      <c r="F42" s="127"/>
      <c r="G42" s="98">
        <v>0</v>
      </c>
      <c r="H42" s="99">
        <f>-H41*G42</f>
        <v>0</v>
      </c>
    </row>
    <row r="43" spans="1:8" ht="15.75" customHeight="1" x14ac:dyDescent="0.25">
      <c r="A43" s="138" t="s">
        <v>449</v>
      </c>
      <c r="B43" s="139"/>
      <c r="C43" s="139"/>
      <c r="D43" s="139"/>
      <c r="E43" s="139"/>
      <c r="F43" s="139"/>
      <c r="G43" s="100"/>
      <c r="H43" s="101">
        <f>H41+H42</f>
        <v>7092.7716666666665</v>
      </c>
    </row>
    <row r="44" spans="1:8" x14ac:dyDescent="0.25">
      <c r="A44" s="11"/>
      <c r="G44" s="6"/>
      <c r="H44" s="4"/>
    </row>
    <row r="45" spans="1:8" ht="15.75" customHeight="1" x14ac:dyDescent="0.25">
      <c r="A45" s="102" t="s">
        <v>450</v>
      </c>
      <c r="G45" s="7"/>
      <c r="H45" s="8"/>
    </row>
    <row r="46" spans="1:8" ht="20.100000000000001" customHeight="1" x14ac:dyDescent="0.25">
      <c r="A46" s="128"/>
      <c r="B46" s="129"/>
      <c r="C46" s="129"/>
      <c r="D46" s="129"/>
      <c r="E46" s="129"/>
      <c r="F46" s="129"/>
      <c r="G46" s="129"/>
      <c r="H46" s="130"/>
    </row>
    <row r="47" spans="1:8" ht="20.100000000000001" customHeight="1" x14ac:dyDescent="0.25">
      <c r="A47" s="131"/>
      <c r="B47" s="124"/>
      <c r="C47" s="124"/>
      <c r="D47" s="124"/>
      <c r="E47" s="124"/>
      <c r="F47" s="124"/>
      <c r="G47" s="124"/>
      <c r="H47" s="132"/>
    </row>
    <row r="48" spans="1:8" ht="20.100000000000001" customHeight="1" x14ac:dyDescent="0.25">
      <c r="A48" s="131"/>
      <c r="B48" s="124"/>
      <c r="C48" s="124"/>
      <c r="D48" s="124"/>
      <c r="E48" s="124"/>
      <c r="F48" s="124"/>
      <c r="G48" s="124"/>
      <c r="H48" s="132"/>
    </row>
    <row r="49" spans="1:8" ht="20.100000000000001" customHeight="1" x14ac:dyDescent="0.25">
      <c r="A49" s="133"/>
      <c r="B49" s="134"/>
      <c r="C49" s="134"/>
      <c r="D49" s="134"/>
      <c r="E49" s="134"/>
      <c r="F49" s="134"/>
      <c r="G49" s="134"/>
      <c r="H49" s="135"/>
    </row>
    <row r="50" spans="1:8" ht="20.100000000000001" customHeight="1" x14ac:dyDescent="0.25"/>
    <row r="51" spans="1:8" ht="20.100000000000001" customHeight="1" x14ac:dyDescent="0.25"/>
  </sheetData>
  <mergeCells count="9">
    <mergeCell ref="A1:H1"/>
    <mergeCell ref="A41:F41"/>
    <mergeCell ref="A46:H49"/>
    <mergeCell ref="E6:F6"/>
    <mergeCell ref="B6:C6"/>
    <mergeCell ref="A42:F42"/>
    <mergeCell ref="B4:E4"/>
    <mergeCell ref="B3:E3"/>
    <mergeCell ref="A43:F43"/>
  </mergeCells>
  <dataValidations count="62">
    <dataValidation type="list" allowBlank="1" errorTitle="Tipo inválido" error="Selecione um tipo válido" sqref="B10:B39" xr:uid="{00000000-0002-0000-0800-000000000000}">
      <formula1>"COMP,EQP,MAT,MO,FER"</formula1>
    </dataValidation>
    <dataValidation type="list" allowBlank="1" showErrorMessage="1" errorTitle="Item inválido" error="Primeiro selecione o TIPO, depois escolha o item da lista" sqref="C10" xr:uid="{00000000-0002-0000-0800-000001000000}">
      <formula1>INDIRECT("LISTA_"&amp;$B$10)</formula1>
    </dataValidation>
    <dataValidation type="list" allowBlank="1" showErrorMessage="1" errorTitle="Item inválido" error="Primeiro selecione o TIPO, depois escolha o item da lista" sqref="C11" xr:uid="{00000000-0002-0000-0800-000002000000}">
      <formula1>INDIRECT("LISTA_"&amp;$B$11)</formula1>
    </dataValidation>
    <dataValidation type="list" allowBlank="1" showErrorMessage="1" errorTitle="Item inválido" error="Primeiro selecione o TIPO, depois escolha o item da lista" sqref="C12" xr:uid="{00000000-0002-0000-0800-000003000000}">
      <formula1>INDIRECT("LISTA_"&amp;$B$12)</formula1>
    </dataValidation>
    <dataValidation type="list" allowBlank="1" showErrorMessage="1" errorTitle="Item inválido" error="Primeiro selecione o TIPO, depois escolha o item da lista" sqref="C13" xr:uid="{00000000-0002-0000-0800-000004000000}">
      <formula1>INDIRECT("LISTA_"&amp;$B$13)</formula1>
    </dataValidation>
    <dataValidation type="list" allowBlank="1" showErrorMessage="1" errorTitle="Item inválido" error="Primeiro selecione o TIPO, depois escolha o item da lista" sqref="C14" xr:uid="{00000000-0002-0000-0800-000005000000}">
      <formula1>INDIRECT("LISTA_"&amp;$B$14)</formula1>
    </dataValidation>
    <dataValidation type="list" allowBlank="1" showErrorMessage="1" errorTitle="Item inválido" error="Primeiro selecione o TIPO, depois escolha o item da lista" sqref="C15" xr:uid="{00000000-0002-0000-0800-000006000000}">
      <formula1>INDIRECT("LISTA_"&amp;$B$15)</formula1>
    </dataValidation>
    <dataValidation type="list" allowBlank="1" showErrorMessage="1" errorTitle="Item inválido" error="Primeiro selecione o TIPO, depois escolha o item da lista" sqref="C16" xr:uid="{00000000-0002-0000-0800-000007000000}">
      <formula1>INDIRECT("LISTA_"&amp;$B$16)</formula1>
    </dataValidation>
    <dataValidation type="list" allowBlank="1" showErrorMessage="1" errorTitle="Item inválido" error="Primeiro selecione o TIPO, depois escolha o item da lista" sqref="C17" xr:uid="{00000000-0002-0000-0800-000008000000}">
      <formula1>INDIRECT("LISTA_"&amp;$B$17)</formula1>
    </dataValidation>
    <dataValidation type="list" allowBlank="1" showErrorMessage="1" errorTitle="Item inválido" error="Primeiro selecione o TIPO, depois escolha o item da lista" sqref="C18" xr:uid="{00000000-0002-0000-0800-000009000000}">
      <formula1>INDIRECT("LISTA_"&amp;$B$18)</formula1>
    </dataValidation>
    <dataValidation type="list" allowBlank="1" showErrorMessage="1" errorTitle="Item inválido" error="Primeiro selecione o TIPO, depois escolha o item da lista" sqref="C19" xr:uid="{00000000-0002-0000-0800-00000A000000}">
      <formula1>INDIRECT("LISTA_"&amp;$B$19)</formula1>
    </dataValidation>
    <dataValidation type="list" allowBlank="1" showErrorMessage="1" errorTitle="Item inválido" error="Primeiro selecione o TIPO, depois escolha o item da lista" sqref="C20" xr:uid="{00000000-0002-0000-0800-00000B000000}">
      <formula1>INDIRECT("LISTA_"&amp;$B$20)</formula1>
    </dataValidation>
    <dataValidation type="list" allowBlank="1" showErrorMessage="1" errorTitle="Item inválido" error="Primeiro selecione o TIPO, depois escolha o item da lista" sqref="C21" xr:uid="{00000000-0002-0000-0800-00000C000000}">
      <formula1>INDIRECT("LISTA_"&amp;$B$21)</formula1>
    </dataValidation>
    <dataValidation type="list" allowBlank="1" showErrorMessage="1" errorTitle="Item inválido" error="Primeiro selecione o TIPO, depois escolha o item da lista" sqref="C22" xr:uid="{00000000-0002-0000-0800-00000D000000}">
      <formula1>INDIRECT("LISTA_"&amp;$B$22)</formula1>
    </dataValidation>
    <dataValidation type="list" allowBlank="1" showErrorMessage="1" errorTitle="Item inválido" error="Primeiro selecione o TIPO, depois escolha o item da lista" sqref="C23" xr:uid="{00000000-0002-0000-0800-00000E000000}">
      <formula1>INDIRECT("LISTA_"&amp;$B$23)</formula1>
    </dataValidation>
    <dataValidation type="list" allowBlank="1" showErrorMessage="1" errorTitle="Item inválido" error="Primeiro selecione o TIPO, depois escolha o item da lista" sqref="C24" xr:uid="{00000000-0002-0000-0800-00000F000000}">
      <formula1>INDIRECT("LISTA_"&amp;$B$24)</formula1>
    </dataValidation>
    <dataValidation type="list" allowBlank="1" showErrorMessage="1" errorTitle="Item inválido" error="Primeiro selecione o TIPO, depois escolha o item da lista" sqref="C25" xr:uid="{00000000-0002-0000-0800-000010000000}">
      <formula1>INDIRECT("LISTA_"&amp;$B$25)</formula1>
    </dataValidation>
    <dataValidation type="list" allowBlank="1" showErrorMessage="1" errorTitle="Item inválido" error="Primeiro selecione o TIPO, depois escolha o item da lista" sqref="C26" xr:uid="{00000000-0002-0000-0800-000011000000}">
      <formula1>INDIRECT("LISTA_"&amp;$B$26)</formula1>
    </dataValidation>
    <dataValidation type="list" allowBlank="1" showErrorMessage="1" errorTitle="Item inválido" error="Primeiro selecione o TIPO, depois escolha o item da lista" sqref="C27" xr:uid="{00000000-0002-0000-0800-000012000000}">
      <formula1>INDIRECT("LISTA_"&amp;$B$27)</formula1>
    </dataValidation>
    <dataValidation type="list" allowBlank="1" showErrorMessage="1" errorTitle="Item inválido" error="Primeiro selecione o TIPO, depois escolha o item da lista" sqref="C28" xr:uid="{00000000-0002-0000-0800-000013000000}">
      <formula1>INDIRECT("LISTA_"&amp;$B$28)</formula1>
    </dataValidation>
    <dataValidation type="list" allowBlank="1" showErrorMessage="1" errorTitle="Item inválido" error="Primeiro selecione o TIPO, depois escolha o item da lista" sqref="C29" xr:uid="{00000000-0002-0000-0800-000014000000}">
      <formula1>INDIRECT("LISTA_"&amp;$B$29)</formula1>
    </dataValidation>
    <dataValidation type="list" allowBlank="1" showErrorMessage="1" errorTitle="Item inválido" error="Primeiro selecione o TIPO, depois escolha o item da lista" sqref="C30" xr:uid="{00000000-0002-0000-0800-000015000000}">
      <formula1>INDIRECT("LISTA_"&amp;$B$30)</formula1>
    </dataValidation>
    <dataValidation type="list" allowBlank="1" showErrorMessage="1" errorTitle="Item inválido" error="Primeiro selecione o TIPO, depois escolha o item da lista" sqref="C31" xr:uid="{00000000-0002-0000-0800-000016000000}">
      <formula1>INDIRECT("LISTA_"&amp;$B$31)</formula1>
    </dataValidation>
    <dataValidation type="list" allowBlank="1" showErrorMessage="1" errorTitle="Item inválido" error="Primeiro selecione o TIPO, depois escolha o item da lista" sqref="C32" xr:uid="{00000000-0002-0000-0800-000017000000}">
      <formula1>INDIRECT("LISTA_"&amp;$B$32)</formula1>
    </dataValidation>
    <dataValidation type="list" allowBlank="1" showErrorMessage="1" errorTitle="Item inválido" error="Primeiro selecione o TIPO, depois escolha o item da lista" sqref="C33" xr:uid="{00000000-0002-0000-0800-000018000000}">
      <formula1>INDIRECT("LISTA_"&amp;$B$33)</formula1>
    </dataValidation>
    <dataValidation type="list" allowBlank="1" showErrorMessage="1" errorTitle="Item inválido" error="Primeiro selecione o TIPO, depois escolha o item da lista" sqref="C34" xr:uid="{00000000-0002-0000-0800-000019000000}">
      <formula1>INDIRECT("LISTA_"&amp;$B$34)</formula1>
    </dataValidation>
    <dataValidation type="list" allowBlank="1" showErrorMessage="1" errorTitle="Item inválido" error="Primeiro selecione o TIPO, depois escolha o item da lista" sqref="C35" xr:uid="{00000000-0002-0000-0800-00001A000000}">
      <formula1>INDIRECT("LISTA_"&amp;$B$35)</formula1>
    </dataValidation>
    <dataValidation type="list" allowBlank="1" showErrorMessage="1" errorTitle="Item inválido" error="Primeiro selecione o TIPO, depois escolha o item da lista" sqref="C36" xr:uid="{00000000-0002-0000-0800-00001B000000}">
      <formula1>INDIRECT("LISTA_"&amp;$B$36)</formula1>
    </dataValidation>
    <dataValidation type="list" allowBlank="1" showErrorMessage="1" errorTitle="Item inválido" error="Primeiro selecione o TIPO, depois escolha o item da lista" sqref="C37" xr:uid="{00000000-0002-0000-0800-00001C000000}">
      <formula1>INDIRECT("LISTA_"&amp;$B$37)</formula1>
    </dataValidation>
    <dataValidation type="list" allowBlank="1" showErrorMessage="1" errorTitle="Item inválido" error="Primeiro selecione o TIPO, depois escolha o item da lista" sqref="C38" xr:uid="{00000000-0002-0000-0800-00001D000000}">
      <formula1>INDIRECT("LISTA_"&amp;$B$38)</formula1>
    </dataValidation>
    <dataValidation type="list" allowBlank="1" showErrorMessage="1" errorTitle="Item inválido" error="Primeiro selecione o TIPO, depois escolha o item da lista" sqref="C39" xr:uid="{00000000-0002-0000-0800-00001E000000}">
      <formula1>INDIRECT("LISTA_"&amp;$B$39)</formula1>
    </dataValidation>
    <dataValidation type="list" allowBlank="1" errorTitle="Tipo invalido" error="Selecione um tipo valido" sqref="B10:B39" xr:uid="{00000000-0002-0000-0800-00001F000000}">
      <formula1>"COMP,EQP,MAT,MO,FER"</formula1>
    </dataValidation>
    <dataValidation type="list" allowBlank="1" showErrorMessage="1" errorTitle="Item invalido" error="Primeiro selecione o TIPO, depois escolha o item da lista" sqref="C10" xr:uid="{00000000-0002-0000-0800-000020000000}">
      <formula1>INDIRECT("LISTA_"&amp;$B$10)</formula1>
    </dataValidation>
    <dataValidation type="list" allowBlank="1" showErrorMessage="1" errorTitle="Item invalido" error="Primeiro selecione o TIPO, depois escolha o item da lista" sqref="C11" xr:uid="{00000000-0002-0000-0800-000021000000}">
      <formula1>INDIRECT("LISTA_"&amp;$B$11)</formula1>
    </dataValidation>
    <dataValidation type="list" allowBlank="1" showErrorMessage="1" errorTitle="Item invalido" error="Primeiro selecione o TIPO, depois escolha o item da lista" sqref="C12" xr:uid="{00000000-0002-0000-0800-000022000000}">
      <formula1>INDIRECT("LISTA_"&amp;$B$12)</formula1>
    </dataValidation>
    <dataValidation type="list" allowBlank="1" showErrorMessage="1" errorTitle="Item invalido" error="Primeiro selecione o TIPO, depois escolha o item da lista" sqref="C13" xr:uid="{00000000-0002-0000-0800-000023000000}">
      <formula1>INDIRECT("LISTA_"&amp;$B$13)</formula1>
    </dataValidation>
    <dataValidation type="list" allowBlank="1" showErrorMessage="1" errorTitle="Item invalido" error="Primeiro selecione o TIPO, depois escolha o item da lista" sqref="C14" xr:uid="{00000000-0002-0000-0800-000024000000}">
      <formula1>INDIRECT("LISTA_"&amp;$B$14)</formula1>
    </dataValidation>
    <dataValidation type="list" allowBlank="1" showErrorMessage="1" errorTitle="Item invalido" error="Primeiro selecione o TIPO, depois escolha o item da lista" sqref="C15" xr:uid="{00000000-0002-0000-0800-000025000000}">
      <formula1>INDIRECT("LISTA_"&amp;$B$15)</formula1>
    </dataValidation>
    <dataValidation type="list" allowBlank="1" showErrorMessage="1" errorTitle="Item invalido" error="Primeiro selecione o TIPO, depois escolha o item da lista" sqref="C16" xr:uid="{00000000-0002-0000-0800-000026000000}">
      <formula1>INDIRECT("LISTA_"&amp;$B$16)</formula1>
    </dataValidation>
    <dataValidation type="list" allowBlank="1" showErrorMessage="1" errorTitle="Item invalido" error="Primeiro selecione o TIPO, depois escolha o item da lista" sqref="C17" xr:uid="{00000000-0002-0000-0800-000027000000}">
      <formula1>INDIRECT("LISTA_"&amp;$B$17)</formula1>
    </dataValidation>
    <dataValidation type="list" allowBlank="1" showErrorMessage="1" errorTitle="Item invalido" error="Primeiro selecione o TIPO, depois escolha o item da lista" sqref="C18" xr:uid="{00000000-0002-0000-0800-000028000000}">
      <formula1>INDIRECT("LISTA_"&amp;$B$18)</formula1>
    </dataValidation>
    <dataValidation type="list" allowBlank="1" showErrorMessage="1" errorTitle="Item invalido" error="Primeiro selecione o TIPO, depois escolha o item da lista" sqref="C19" xr:uid="{00000000-0002-0000-0800-000029000000}">
      <formula1>INDIRECT("LISTA_"&amp;$B$19)</formula1>
    </dataValidation>
    <dataValidation type="list" allowBlank="1" showErrorMessage="1" errorTitle="Item invalido" error="Primeiro selecione o TIPO, depois escolha o item da lista" sqref="C20" xr:uid="{00000000-0002-0000-0800-00002A000000}">
      <formula1>INDIRECT("LISTA_"&amp;$B$20)</formula1>
    </dataValidation>
    <dataValidation type="list" allowBlank="1" showErrorMessage="1" errorTitle="Item invalido" error="Primeiro selecione o TIPO, depois escolha o item da lista" sqref="C21" xr:uid="{00000000-0002-0000-0800-00002B000000}">
      <formula1>INDIRECT("LISTA_"&amp;$B$21)</formula1>
    </dataValidation>
    <dataValidation type="list" allowBlank="1" showErrorMessage="1" errorTitle="Item invalido" error="Primeiro selecione o TIPO, depois escolha o item da lista" sqref="C22" xr:uid="{00000000-0002-0000-0800-00002C000000}">
      <formula1>INDIRECT("LISTA_"&amp;$B$22)</formula1>
    </dataValidation>
    <dataValidation type="list" allowBlank="1" showErrorMessage="1" errorTitle="Item invalido" error="Primeiro selecione o TIPO, depois escolha o item da lista" sqref="C23" xr:uid="{00000000-0002-0000-0800-00002D000000}">
      <formula1>INDIRECT("LISTA_"&amp;$B$23)</formula1>
    </dataValidation>
    <dataValidation type="list" allowBlank="1" showErrorMessage="1" errorTitle="Item invalido" error="Primeiro selecione o TIPO, depois escolha o item da lista" sqref="C24" xr:uid="{00000000-0002-0000-0800-00002E000000}">
      <formula1>INDIRECT("LISTA_"&amp;$B$24)</formula1>
    </dataValidation>
    <dataValidation type="list" allowBlank="1" showErrorMessage="1" errorTitle="Item invalido" error="Primeiro selecione o TIPO, depois escolha o item da lista" sqref="C25" xr:uid="{00000000-0002-0000-0800-00002F000000}">
      <formula1>INDIRECT("LISTA_"&amp;$B$25)</formula1>
    </dataValidation>
    <dataValidation type="list" allowBlank="1" showErrorMessage="1" errorTitle="Item invalido" error="Primeiro selecione o TIPO, depois escolha o item da lista" sqref="C26" xr:uid="{00000000-0002-0000-0800-000030000000}">
      <formula1>INDIRECT("LISTA_"&amp;$B$26)</formula1>
    </dataValidation>
    <dataValidation type="list" allowBlank="1" showErrorMessage="1" errorTitle="Item invalido" error="Primeiro selecione o TIPO, depois escolha o item da lista" sqref="C27" xr:uid="{00000000-0002-0000-0800-000031000000}">
      <formula1>INDIRECT("LISTA_"&amp;$B$27)</formula1>
    </dataValidation>
    <dataValidation type="list" allowBlank="1" showErrorMessage="1" errorTitle="Item invalido" error="Primeiro selecione o TIPO, depois escolha o item da lista" sqref="C28" xr:uid="{00000000-0002-0000-0800-000032000000}">
      <formula1>INDIRECT("LISTA_"&amp;$B$28)</formula1>
    </dataValidation>
    <dataValidation type="list" allowBlank="1" showErrorMessage="1" errorTitle="Item invalido" error="Primeiro selecione o TIPO, depois escolha o item da lista" sqref="C29" xr:uid="{00000000-0002-0000-0800-000033000000}">
      <formula1>INDIRECT("LISTA_"&amp;$B$29)</formula1>
    </dataValidation>
    <dataValidation type="list" allowBlank="1" showErrorMessage="1" errorTitle="Item invalido" error="Primeiro selecione o TIPO, depois escolha o item da lista" sqref="C30" xr:uid="{00000000-0002-0000-0800-000034000000}">
      <formula1>INDIRECT("LISTA_"&amp;$B$30)</formula1>
    </dataValidation>
    <dataValidation type="list" allowBlank="1" showErrorMessage="1" errorTitle="Item invalido" error="Primeiro selecione o TIPO, depois escolha o item da lista" sqref="C31" xr:uid="{00000000-0002-0000-0800-000035000000}">
      <formula1>INDIRECT("LISTA_"&amp;$B$31)</formula1>
    </dataValidation>
    <dataValidation type="list" allowBlank="1" showErrorMessage="1" errorTitle="Item invalido" error="Primeiro selecione o TIPO, depois escolha o item da lista" sqref="C32" xr:uid="{00000000-0002-0000-0800-000036000000}">
      <formula1>INDIRECT("LISTA_"&amp;$B$32)</formula1>
    </dataValidation>
    <dataValidation type="list" allowBlank="1" showErrorMessage="1" errorTitle="Item invalido" error="Primeiro selecione o TIPO, depois escolha o item da lista" sqref="C33" xr:uid="{00000000-0002-0000-0800-000037000000}">
      <formula1>INDIRECT("LISTA_"&amp;$B$33)</formula1>
    </dataValidation>
    <dataValidation type="list" allowBlank="1" showErrorMessage="1" errorTitle="Item invalido" error="Primeiro selecione o TIPO, depois escolha o item da lista" sqref="C34" xr:uid="{00000000-0002-0000-0800-000038000000}">
      <formula1>INDIRECT("LISTA_"&amp;$B$34)</formula1>
    </dataValidation>
    <dataValidation type="list" allowBlank="1" showErrorMessage="1" errorTitle="Item invalido" error="Primeiro selecione o TIPO, depois escolha o item da lista" sqref="C35" xr:uid="{00000000-0002-0000-0800-000039000000}">
      <formula1>INDIRECT("LISTA_"&amp;$B$35)</formula1>
    </dataValidation>
    <dataValidation type="list" allowBlank="1" showErrorMessage="1" errorTitle="Item invalido" error="Primeiro selecione o TIPO, depois escolha o item da lista" sqref="C36" xr:uid="{00000000-0002-0000-0800-00003A000000}">
      <formula1>INDIRECT("LISTA_"&amp;$B$36)</formula1>
    </dataValidation>
    <dataValidation type="list" allowBlank="1" showErrorMessage="1" errorTitle="Item invalido" error="Primeiro selecione o TIPO, depois escolha o item da lista" sqref="C37" xr:uid="{00000000-0002-0000-0800-00003B000000}">
      <formula1>INDIRECT("LISTA_"&amp;$B$37)</formula1>
    </dataValidation>
    <dataValidation type="list" allowBlank="1" showErrorMessage="1" errorTitle="Item invalido" error="Primeiro selecione o TIPO, depois escolha o item da lista" sqref="C38" xr:uid="{00000000-0002-0000-0800-00003C000000}">
      <formula1>INDIRECT("LISTA_"&amp;$B$38)</formula1>
    </dataValidation>
    <dataValidation type="list" allowBlank="1" showErrorMessage="1" errorTitle="Item invalido" error="Primeiro selecione o TIPO, depois escolha o item da lista" sqref="C39" xr:uid="{00000000-0002-0000-0800-00003D000000}">
      <formula1>INDIRECT("LISTA_"&amp;$B$39)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modMacros.NovaComposicao" altText="Nova Composição">
                <anchor>
                  <from>
                    <xdr:col>10</xdr:col>
                    <xdr:colOff>504825</xdr:colOff>
                    <xdr:row>0</xdr:row>
                    <xdr:rowOff>219075</xdr:rowOff>
                  </from>
                  <to>
                    <xdr:col>12</xdr:col>
                    <xdr:colOff>285750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5</vt:i4>
      </vt:variant>
    </vt:vector>
  </HeadingPairs>
  <TitlesOfParts>
    <vt:vector size="14" baseType="lpstr">
      <vt:lpstr>INSTRUCOES</vt:lpstr>
      <vt:lpstr>PROMPTS</vt:lpstr>
      <vt:lpstr>NEGOCIO</vt:lpstr>
      <vt:lpstr>MATERIAIS</vt:lpstr>
      <vt:lpstr>MAO_DE_OBRA</vt:lpstr>
      <vt:lpstr>FERRAMENTAS</vt:lpstr>
      <vt:lpstr>EQUIPAMENTOS</vt:lpstr>
      <vt:lpstr>COMPOSICOES</vt:lpstr>
      <vt:lpstr>ORCAMENTO</vt:lpstr>
      <vt:lpstr>LISTA_COMP</vt:lpstr>
      <vt:lpstr>LISTA_EQP</vt:lpstr>
      <vt:lpstr>LISTA_FER</vt:lpstr>
      <vt:lpstr>LISTA_MAT</vt:lpstr>
      <vt:lpstr>LISTA_MO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Thiago Gouvea da Rosa</cp:lastModifiedBy>
  <dcterms:created xsi:type="dcterms:W3CDTF">2025-12-25T21:56:56Z</dcterms:created>
  <dcterms:modified xsi:type="dcterms:W3CDTF">2025-12-27T02:06:16Z</dcterms:modified>
</cp:coreProperties>
</file>